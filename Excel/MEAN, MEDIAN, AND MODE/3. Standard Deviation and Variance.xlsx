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D:\Analyst Builder\9.0 Excel for Data Analysis\5. Statistics\Final\"/>
    </mc:Choice>
  </mc:AlternateContent>
  <xr:revisionPtr revIDLastSave="47" documentId="8_{ED5B81EE-8DD2-42A8-8A83-20C6AF513F45}" xr6:coauthVersionLast="47" xr6:coauthVersionMax="47" xr10:uidLastSave="{B38FE2F0-C9E0-4371-9E71-5F9ACED74E27}"/>
  <bookViews>
    <workbookView xWindow="-110" yWindow="-110" windowWidth="25820" windowHeight="14620" tabRatio="500" xr2:uid="{00000000-000D-0000-FFFF-FFFF00000000}"/>
  </bookViews>
  <sheets>
    <sheet name="data" sheetId="5" r:id="rId1"/>
  </sheets>
  <externalReferences>
    <externalReference r:id="rId2"/>
  </externalReferenc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5" i="5" l="1"/>
  <c r="S18" i="5"/>
  <c r="S13" i="5"/>
  <c r="S12" i="5"/>
  <c r="S11" i="5"/>
  <c r="S17" i="5"/>
  <c r="S7" i="5"/>
  <c r="S6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2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P5" i="5"/>
  <c r="P16" i="5" l="1" a="1"/>
  <c r="P16" i="5" s="1"/>
  <c r="P12" i="5"/>
  <c r="P11" i="5"/>
  <c r="P7" i="5"/>
  <c r="P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<sst xmlns="http://schemas.openxmlformats.org/spreadsheetml/2006/main" count="4998" uniqueCount="99">
  <si>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</si>
  <si>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</si>
  <si>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</si>
  <si>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</si>
  <si>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</si>
  <si>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</si>
  <si>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</si>
  <si>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</si>
  <si>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</si>
  <si>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</si>
  <si>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</si>
  <si>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vs Average</t>
  </si>
  <si>
    <t>Squared(vs Average)</t>
  </si>
  <si>
    <t>SE</t>
  </si>
  <si>
    <t>FT</t>
  </si>
  <si>
    <t>Data Analyst</t>
  </si>
  <si>
    <t>USD</t>
  </si>
  <si>
    <t>US</t>
  </si>
  <si>
    <t>M</t>
  </si>
  <si>
    <t>MI</t>
  </si>
  <si>
    <t>Salary</t>
  </si>
  <si>
    <t>Output</t>
  </si>
  <si>
    <t>Average</t>
  </si>
  <si>
    <t>Median</t>
  </si>
  <si>
    <t>Variance (formula)</t>
  </si>
  <si>
    <t>Mode</t>
  </si>
  <si>
    <t>Standard Deviation</t>
  </si>
  <si>
    <t>Standard deviation is a statistical measure of the dispersion or spread of data points in a dataset. It is the square root of the variance and provides a more interpretable measure of how data values deviate from the mean. A lower standard deviation indicates that data points are closer to the mean, while a higher standard deviation indicates greater variability in the data.</t>
  </si>
  <si>
    <t>EN</t>
  </si>
  <si>
    <t>Data Quality Analyst</t>
  </si>
  <si>
    <t>NG</t>
  </si>
  <si>
    <t>L</t>
  </si>
  <si>
    <t>DUNDAJ TSALINGAAS DUNDJAAR 49088-IN ZORUUTEI...</t>
  </si>
  <si>
    <t>Max</t>
  </si>
  <si>
    <t>Min</t>
  </si>
  <si>
    <t>Variance (function)</t>
  </si>
  <si>
    <t>Data Analytics Manager</t>
  </si>
  <si>
    <t>Bins</t>
  </si>
  <si>
    <t>Frequency</t>
  </si>
  <si>
    <t>Standard Deviation (population)</t>
  </si>
  <si>
    <t>Business Data Analyst</t>
  </si>
  <si>
    <t>GBP</t>
  </si>
  <si>
    <t>GB</t>
  </si>
  <si>
    <t>CF</t>
  </si>
  <si>
    <t>EX</t>
  </si>
  <si>
    <t>Staff Data Analyst</t>
  </si>
  <si>
    <t>CA</t>
  </si>
  <si>
    <t>CAD</t>
  </si>
  <si>
    <t>Lead Data Analyst</t>
  </si>
  <si>
    <t>EUR</t>
  </si>
  <si>
    <t>ES</t>
  </si>
  <si>
    <t>Financial Data Analyst</t>
  </si>
  <si>
    <t>INR</t>
  </si>
  <si>
    <t>IN</t>
  </si>
  <si>
    <t>BI Analyst</t>
  </si>
  <si>
    <t>UZ</t>
  </si>
  <si>
    <t>PT</t>
  </si>
  <si>
    <t>S</t>
  </si>
  <si>
    <t>BRL</t>
  </si>
  <si>
    <t>BR</t>
  </si>
  <si>
    <t>BI Data Analyst</t>
  </si>
  <si>
    <t>DE</t>
  </si>
  <si>
    <t>Insight Analyst</t>
  </si>
  <si>
    <t>HR</t>
  </si>
  <si>
    <t>PLN</t>
  </si>
  <si>
    <t>PL</t>
  </si>
  <si>
    <t>KW</t>
  </si>
  <si>
    <t>Product Data Analyst</t>
  </si>
  <si>
    <t>AR</t>
  </si>
  <si>
    <t>GR</t>
  </si>
  <si>
    <t>Data Analytics Lead</t>
  </si>
  <si>
    <t>SG</t>
  </si>
  <si>
    <t>NL</t>
  </si>
  <si>
    <t>AU</t>
  </si>
  <si>
    <t>FL</t>
  </si>
  <si>
    <t>Data Analytics Consultant</t>
  </si>
  <si>
    <t>BE</t>
  </si>
  <si>
    <t>FR</t>
  </si>
  <si>
    <t>MX</t>
  </si>
  <si>
    <t>CN</t>
  </si>
  <si>
    <t>Data Operations Analyst</t>
  </si>
  <si>
    <t>Marketing Data Analyst</t>
  </si>
  <si>
    <t>CT</t>
  </si>
  <si>
    <t>AUD</t>
  </si>
  <si>
    <t>CR</t>
  </si>
  <si>
    <t>AS</t>
  </si>
  <si>
    <t>PH</t>
  </si>
  <si>
    <t>SGD</t>
  </si>
  <si>
    <t>ID</t>
  </si>
  <si>
    <t>Principal Data Analyst</t>
  </si>
  <si>
    <t>HN</t>
  </si>
  <si>
    <t>BG</t>
  </si>
  <si>
    <t>DK</t>
  </si>
  <si>
    <t>HUF</t>
  </si>
  <si>
    <t>HU</t>
  </si>
  <si>
    <t>KE</t>
  </si>
  <si>
    <t>PK</t>
  </si>
  <si>
    <t>Finance Data Analyst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</si>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</sst>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Inter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164" fontId="0" fillId="0" borderId="0" xfId="0" applyNumberFormat="1"/>
    <xf numFmtId="44" fontId="0" fillId="3" borderId="1" xfId="0" applyNumberFormat="1" applyFill="1" applyBorder="1"/>
    <xf numFmtId="164" fontId="0" fillId="3" borderId="1" xfId="1" applyNumberFormat="1" applyFont="1" applyFill="1" applyBorder="1"/>
    <xf numFmtId="0" fontId="0" fillId="0" borderId="0" xfId="0" applyFill="1" applyBorder="1"/>
    <xf numFmtId="44" fontId="2" fillId="2" borderId="0" xfId="0" applyNumberFormat="1" applyFont="1" applyFill="1"/>
    <xf numFmtId="44" fontId="0" fillId="0" borderId="0" xfId="0" applyNumberFormat="1" applyFill="1" applyBorder="1"/>
    <xf numFmtId="0" fontId="3" fillId="0" borderId="0" xfId="0" applyFont="1" applyAlignment="1">
      <alignment vertical="top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dcf8614aee6bcda/EXCEL/MEAN%5eJ%20MEDIAN%5eJ%20AND%20MODE/2.%20Distributions.xlsx" TargetMode="External"/><Relationship Id="rId1" Type="http://schemas.openxmlformats.org/officeDocument/2006/relationships/externalLinkPath" Target="2.%20Distribu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cdcf8614aee6bcda" itemId="CDCF8614AEE6BCDA!sf0025e55e7f647f5bf529be6ae596e12">
      <xxl21:absoluteUrl r:id="rId2"/>
    </xxl21:alternateUrls>
    <sheetNames>
      <sheetName val="ds_salaries"/>
    </sheetNames>
    <sheetDataSet>
      <sheetData sheetId="0">
        <row r="2">
          <cell r="G2">
            <v>130000</v>
          </cell>
        </row>
        <row r="3">
          <cell r="G3">
            <v>100000</v>
          </cell>
        </row>
        <row r="4">
          <cell r="G4">
            <v>150000</v>
          </cell>
        </row>
        <row r="5">
          <cell r="G5">
            <v>110000</v>
          </cell>
        </row>
        <row r="6">
          <cell r="G6">
            <v>105380</v>
          </cell>
        </row>
        <row r="7">
          <cell r="G7">
            <v>64500</v>
          </cell>
        </row>
        <row r="8">
          <cell r="G8">
            <v>100000</v>
          </cell>
        </row>
        <row r="9">
          <cell r="G9">
            <v>202800</v>
          </cell>
        </row>
        <row r="10">
          <cell r="G10">
            <v>104300</v>
          </cell>
        </row>
        <row r="11">
          <cell r="G11">
            <v>145000</v>
          </cell>
        </row>
        <row r="12">
          <cell r="G12">
            <v>65000</v>
          </cell>
        </row>
        <row r="13">
          <cell r="G13">
            <v>155000</v>
          </cell>
        </row>
        <row r="14">
          <cell r="G14">
            <v>140000</v>
          </cell>
        </row>
        <row r="15">
          <cell r="G15">
            <v>75000</v>
          </cell>
        </row>
        <row r="16">
          <cell r="G16">
            <v>70000</v>
          </cell>
        </row>
        <row r="17">
          <cell r="G17">
            <v>204500</v>
          </cell>
        </row>
        <row r="18">
          <cell r="G18">
            <v>138900</v>
          </cell>
        </row>
        <row r="19">
          <cell r="G19">
            <v>105000</v>
          </cell>
        </row>
        <row r="20">
          <cell r="G20">
            <v>46178</v>
          </cell>
        </row>
        <row r="21">
          <cell r="G21">
            <v>42533</v>
          </cell>
        </row>
        <row r="22">
          <cell r="G22">
            <v>168400</v>
          </cell>
        </row>
        <row r="23">
          <cell r="G23">
            <v>105200</v>
          </cell>
        </row>
        <row r="24">
          <cell r="G24">
            <v>54685</v>
          </cell>
        </row>
        <row r="25">
          <cell r="G25">
            <v>42533</v>
          </cell>
        </row>
        <row r="26">
          <cell r="G26">
            <v>15000</v>
          </cell>
        </row>
        <row r="27">
          <cell r="G27">
            <v>85000</v>
          </cell>
        </row>
        <row r="28">
          <cell r="G28">
            <v>75000</v>
          </cell>
        </row>
        <row r="29">
          <cell r="G29">
            <v>120000</v>
          </cell>
        </row>
        <row r="30">
          <cell r="G30">
            <v>75000</v>
          </cell>
        </row>
        <row r="31">
          <cell r="G31">
            <v>140000</v>
          </cell>
        </row>
        <row r="32">
          <cell r="G32">
            <v>120000</v>
          </cell>
        </row>
        <row r="33">
          <cell r="G33">
            <v>100000</v>
          </cell>
        </row>
        <row r="34">
          <cell r="G34">
            <v>80000</v>
          </cell>
        </row>
        <row r="35">
          <cell r="G35">
            <v>135000</v>
          </cell>
        </row>
        <row r="36">
          <cell r="G36">
            <v>105500</v>
          </cell>
        </row>
        <row r="37">
          <cell r="G37">
            <v>80000</v>
          </cell>
        </row>
        <row r="38">
          <cell r="G38">
            <v>70000</v>
          </cell>
        </row>
        <row r="39">
          <cell r="G39">
            <v>200000</v>
          </cell>
        </row>
        <row r="40">
          <cell r="G40">
            <v>148500</v>
          </cell>
        </row>
        <row r="41">
          <cell r="G41">
            <v>149500</v>
          </cell>
        </row>
        <row r="42">
          <cell r="G42">
            <v>127075</v>
          </cell>
        </row>
        <row r="43">
          <cell r="G43">
            <v>187000</v>
          </cell>
        </row>
        <row r="44">
          <cell r="G44">
            <v>128000</v>
          </cell>
        </row>
        <row r="45">
          <cell r="G45">
            <v>142000</v>
          </cell>
        </row>
        <row r="46">
          <cell r="G46">
            <v>75000</v>
          </cell>
        </row>
        <row r="47">
          <cell r="G47">
            <v>125000</v>
          </cell>
        </row>
        <row r="48">
          <cell r="G48">
            <v>112000</v>
          </cell>
        </row>
        <row r="49">
          <cell r="G49">
            <v>139000</v>
          </cell>
        </row>
        <row r="50">
          <cell r="G50">
            <v>106000</v>
          </cell>
        </row>
        <row r="51">
          <cell r="G51">
            <v>40663</v>
          </cell>
        </row>
        <row r="52">
          <cell r="G52">
            <v>140000</v>
          </cell>
        </row>
        <row r="53">
          <cell r="G53">
            <v>120000</v>
          </cell>
        </row>
        <row r="54">
          <cell r="G54">
            <v>175000</v>
          </cell>
        </row>
        <row r="55">
          <cell r="G55">
            <v>135000</v>
          </cell>
        </row>
        <row r="56">
          <cell r="G56">
            <v>100000</v>
          </cell>
        </row>
        <row r="57">
          <cell r="G57">
            <v>80000</v>
          </cell>
        </row>
        <row r="58">
          <cell r="G58">
            <v>90000</v>
          </cell>
        </row>
        <row r="59">
          <cell r="G59">
            <v>75000</v>
          </cell>
        </row>
        <row r="60">
          <cell r="G60">
            <v>160000</v>
          </cell>
        </row>
        <row r="61">
          <cell r="G61">
            <v>120000</v>
          </cell>
        </row>
        <row r="62">
          <cell r="G62">
            <v>155000</v>
          </cell>
        </row>
        <row r="63">
          <cell r="G63">
            <v>106000</v>
          </cell>
        </row>
        <row r="64">
          <cell r="G64">
            <v>68000</v>
          </cell>
        </row>
        <row r="65">
          <cell r="G65">
            <v>105000</v>
          </cell>
        </row>
        <row r="66">
          <cell r="G66">
            <v>90000</v>
          </cell>
        </row>
        <row r="67">
          <cell r="G67">
            <v>135000</v>
          </cell>
        </row>
        <row r="68">
          <cell r="G68">
            <v>105500</v>
          </cell>
        </row>
        <row r="69">
          <cell r="G69">
            <v>80000</v>
          </cell>
        </row>
        <row r="70">
          <cell r="G70">
            <v>70000</v>
          </cell>
        </row>
        <row r="71">
          <cell r="G71">
            <v>64200</v>
          </cell>
        </row>
        <row r="72">
          <cell r="G72">
            <v>56100</v>
          </cell>
        </row>
        <row r="73">
          <cell r="G73">
            <v>208450</v>
          </cell>
        </row>
        <row r="74">
          <cell r="G74">
            <v>170550</v>
          </cell>
        </row>
        <row r="75">
          <cell r="G75">
            <v>153600</v>
          </cell>
        </row>
        <row r="76">
          <cell r="G76">
            <v>100500</v>
          </cell>
        </row>
        <row r="77">
          <cell r="G77">
            <v>182500</v>
          </cell>
        </row>
        <row r="78">
          <cell r="G78">
            <v>121500</v>
          </cell>
        </row>
        <row r="79">
          <cell r="G79">
            <v>72914</v>
          </cell>
        </row>
        <row r="80">
          <cell r="G80">
            <v>54685</v>
          </cell>
        </row>
        <row r="81">
          <cell r="G81">
            <v>100000</v>
          </cell>
        </row>
        <row r="82">
          <cell r="G82">
            <v>80000</v>
          </cell>
        </row>
        <row r="83">
          <cell r="G83">
            <v>21461</v>
          </cell>
        </row>
        <row r="84">
          <cell r="G84">
            <v>175000</v>
          </cell>
        </row>
        <row r="85">
          <cell r="G85">
            <v>145000</v>
          </cell>
        </row>
        <row r="86">
          <cell r="G86">
            <v>148700</v>
          </cell>
        </row>
        <row r="87">
          <cell r="G87">
            <v>125600</v>
          </cell>
        </row>
        <row r="88">
          <cell r="G88">
            <v>185000</v>
          </cell>
        </row>
        <row r="89">
          <cell r="G89">
            <v>120250</v>
          </cell>
        </row>
        <row r="90">
          <cell r="G90">
            <v>208049</v>
          </cell>
        </row>
        <row r="91">
          <cell r="G91">
            <v>128500</v>
          </cell>
        </row>
        <row r="92">
          <cell r="G92">
            <v>190000</v>
          </cell>
        </row>
        <row r="93">
          <cell r="G93">
            <v>95000</v>
          </cell>
        </row>
        <row r="94">
          <cell r="G94">
            <v>153600</v>
          </cell>
        </row>
        <row r="95">
          <cell r="G95">
            <v>106800</v>
          </cell>
        </row>
        <row r="96">
          <cell r="G96">
            <v>128000</v>
          </cell>
        </row>
        <row r="97">
          <cell r="G97">
            <v>85000</v>
          </cell>
        </row>
        <row r="98">
          <cell r="G98">
            <v>135000</v>
          </cell>
        </row>
        <row r="99">
          <cell r="G99">
            <v>105500</v>
          </cell>
        </row>
        <row r="100">
          <cell r="G100">
            <v>100000</v>
          </cell>
        </row>
        <row r="101">
          <cell r="G101">
            <v>80000</v>
          </cell>
        </row>
        <row r="102">
          <cell r="G102">
            <v>154000</v>
          </cell>
        </row>
        <row r="103">
          <cell r="G103">
            <v>143000</v>
          </cell>
        </row>
        <row r="104">
          <cell r="G104">
            <v>85000</v>
          </cell>
        </row>
        <row r="105">
          <cell r="G105">
            <v>75000</v>
          </cell>
        </row>
        <row r="106">
          <cell r="G106">
            <v>83500</v>
          </cell>
        </row>
        <row r="107">
          <cell r="G107">
            <v>52500</v>
          </cell>
        </row>
        <row r="108">
          <cell r="G108">
            <v>165000</v>
          </cell>
        </row>
        <row r="109">
          <cell r="G109">
            <v>140000</v>
          </cell>
        </row>
        <row r="110">
          <cell r="G110">
            <v>180180</v>
          </cell>
        </row>
        <row r="111">
          <cell r="G111">
            <v>106020</v>
          </cell>
        </row>
        <row r="112">
          <cell r="G112">
            <v>153600</v>
          </cell>
        </row>
        <row r="113">
          <cell r="G113">
            <v>100500</v>
          </cell>
        </row>
        <row r="114">
          <cell r="G114">
            <v>206500</v>
          </cell>
        </row>
        <row r="115">
          <cell r="G115">
            <v>121600</v>
          </cell>
        </row>
        <row r="116">
          <cell r="G116">
            <v>95000</v>
          </cell>
        </row>
        <row r="117">
          <cell r="G117">
            <v>70000</v>
          </cell>
        </row>
        <row r="118">
          <cell r="G118">
            <v>115934</v>
          </cell>
        </row>
        <row r="119">
          <cell r="G119">
            <v>81666</v>
          </cell>
        </row>
        <row r="120">
          <cell r="G120">
            <v>206000</v>
          </cell>
        </row>
        <row r="121">
          <cell r="G121">
            <v>130000</v>
          </cell>
        </row>
        <row r="122">
          <cell r="G122">
            <v>110000</v>
          </cell>
        </row>
        <row r="123">
          <cell r="G123">
            <v>75000</v>
          </cell>
        </row>
        <row r="124">
          <cell r="G124">
            <v>160000</v>
          </cell>
        </row>
        <row r="125">
          <cell r="G125">
            <v>112000</v>
          </cell>
        </row>
        <row r="126">
          <cell r="G126">
            <v>100000</v>
          </cell>
        </row>
        <row r="127">
          <cell r="G127">
            <v>85000</v>
          </cell>
        </row>
        <row r="128">
          <cell r="G128">
            <v>185000</v>
          </cell>
        </row>
        <row r="129">
          <cell r="G129">
            <v>120250</v>
          </cell>
        </row>
        <row r="130">
          <cell r="G130">
            <v>130000</v>
          </cell>
        </row>
        <row r="131">
          <cell r="G131">
            <v>70000</v>
          </cell>
        </row>
        <row r="132">
          <cell r="G132">
            <v>55000</v>
          </cell>
        </row>
        <row r="133">
          <cell r="G133">
            <v>75000</v>
          </cell>
        </row>
        <row r="134">
          <cell r="G134">
            <v>65000</v>
          </cell>
        </row>
        <row r="135">
          <cell r="G135">
            <v>180180</v>
          </cell>
        </row>
        <row r="136">
          <cell r="G136">
            <v>106020</v>
          </cell>
        </row>
        <row r="137">
          <cell r="G137">
            <v>18238</v>
          </cell>
        </row>
        <row r="138">
          <cell r="G138">
            <v>75000</v>
          </cell>
        </row>
        <row r="139">
          <cell r="G139">
            <v>60000</v>
          </cell>
        </row>
        <row r="140">
          <cell r="G140">
            <v>169000</v>
          </cell>
        </row>
        <row r="141">
          <cell r="G141">
            <v>110600</v>
          </cell>
        </row>
        <row r="142">
          <cell r="G142">
            <v>155000</v>
          </cell>
        </row>
        <row r="143">
          <cell r="G143">
            <v>140000</v>
          </cell>
        </row>
        <row r="144">
          <cell r="G144">
            <v>250000</v>
          </cell>
        </row>
        <row r="145">
          <cell r="G145">
            <v>138000</v>
          </cell>
        </row>
        <row r="146">
          <cell r="G146">
            <v>130000</v>
          </cell>
        </row>
        <row r="147">
          <cell r="G147">
            <v>100000</v>
          </cell>
        </row>
        <row r="148">
          <cell r="G148">
            <v>160000</v>
          </cell>
        </row>
        <row r="149">
          <cell r="G149">
            <v>135000</v>
          </cell>
        </row>
        <row r="150">
          <cell r="G150">
            <v>127000</v>
          </cell>
        </row>
        <row r="151">
          <cell r="G151">
            <v>94000</v>
          </cell>
        </row>
        <row r="152">
          <cell r="G152">
            <v>161500</v>
          </cell>
        </row>
        <row r="153">
          <cell r="G153">
            <v>119500</v>
          </cell>
        </row>
        <row r="154">
          <cell r="G154">
            <v>175000</v>
          </cell>
        </row>
        <row r="155">
          <cell r="G155">
            <v>145000</v>
          </cell>
        </row>
        <row r="156">
          <cell r="G156">
            <v>185900</v>
          </cell>
        </row>
        <row r="157">
          <cell r="G157">
            <v>121700</v>
          </cell>
        </row>
        <row r="158">
          <cell r="G158">
            <v>153600</v>
          </cell>
        </row>
        <row r="159">
          <cell r="G159">
            <v>106800</v>
          </cell>
        </row>
        <row r="160">
          <cell r="G160">
            <v>100000</v>
          </cell>
        </row>
        <row r="161">
          <cell r="G161">
            <v>125000</v>
          </cell>
        </row>
        <row r="162">
          <cell r="G162">
            <v>110000</v>
          </cell>
        </row>
        <row r="163">
          <cell r="G163">
            <v>150000</v>
          </cell>
        </row>
        <row r="164">
          <cell r="G164">
            <v>100000</v>
          </cell>
        </row>
        <row r="165">
          <cell r="G165">
            <v>97218</v>
          </cell>
        </row>
        <row r="166">
          <cell r="G166">
            <v>48609</v>
          </cell>
        </row>
        <row r="167">
          <cell r="G167">
            <v>95000</v>
          </cell>
        </row>
        <row r="168">
          <cell r="G168">
            <v>85500</v>
          </cell>
        </row>
        <row r="169">
          <cell r="G169">
            <v>185900</v>
          </cell>
        </row>
        <row r="170">
          <cell r="G170">
            <v>121700</v>
          </cell>
        </row>
        <row r="171">
          <cell r="G171">
            <v>120000</v>
          </cell>
        </row>
        <row r="172">
          <cell r="G172">
            <v>75000</v>
          </cell>
        </row>
        <row r="173">
          <cell r="G173">
            <v>78990</v>
          </cell>
        </row>
        <row r="174">
          <cell r="G174">
            <v>43809</v>
          </cell>
        </row>
        <row r="175">
          <cell r="G175">
            <v>180000</v>
          </cell>
        </row>
        <row r="176">
          <cell r="G176">
            <v>110000</v>
          </cell>
        </row>
        <row r="177">
          <cell r="G177">
            <v>85000</v>
          </cell>
        </row>
        <row r="178">
          <cell r="G178">
            <v>75000</v>
          </cell>
        </row>
        <row r="179">
          <cell r="G179">
            <v>145000</v>
          </cell>
        </row>
        <row r="180">
          <cell r="G180">
            <v>90000</v>
          </cell>
        </row>
        <row r="181">
          <cell r="G181">
            <v>95000</v>
          </cell>
        </row>
        <row r="182">
          <cell r="G182">
            <v>85500</v>
          </cell>
        </row>
        <row r="183">
          <cell r="G183">
            <v>155000</v>
          </cell>
        </row>
        <row r="184">
          <cell r="G184">
            <v>140000</v>
          </cell>
        </row>
        <row r="185">
          <cell r="G185">
            <v>30000</v>
          </cell>
        </row>
        <row r="186">
          <cell r="G186">
            <v>34320</v>
          </cell>
        </row>
        <row r="187">
          <cell r="G187">
            <v>9289</v>
          </cell>
        </row>
        <row r="188">
          <cell r="G188">
            <v>175000</v>
          </cell>
        </row>
        <row r="189">
          <cell r="G189">
            <v>130000</v>
          </cell>
        </row>
        <row r="190">
          <cell r="G190">
            <v>122000</v>
          </cell>
        </row>
        <row r="191">
          <cell r="G191">
            <v>93800</v>
          </cell>
        </row>
        <row r="192">
          <cell r="G192">
            <v>165000</v>
          </cell>
        </row>
        <row r="193">
          <cell r="G193">
            <v>112000</v>
          </cell>
        </row>
        <row r="194">
          <cell r="G194">
            <v>71897</v>
          </cell>
        </row>
        <row r="195">
          <cell r="G195">
            <v>15806</v>
          </cell>
        </row>
        <row r="196">
          <cell r="G196">
            <v>185900</v>
          </cell>
        </row>
        <row r="197">
          <cell r="G197">
            <v>121700</v>
          </cell>
        </row>
        <row r="198">
          <cell r="G198">
            <v>180180</v>
          </cell>
        </row>
        <row r="199">
          <cell r="G199">
            <v>106020</v>
          </cell>
        </row>
        <row r="200">
          <cell r="G200">
            <v>125000</v>
          </cell>
        </row>
        <row r="201">
          <cell r="G201">
            <v>110000</v>
          </cell>
        </row>
        <row r="202">
          <cell r="G202">
            <v>152380</v>
          </cell>
        </row>
        <row r="203">
          <cell r="G203">
            <v>121904</v>
          </cell>
        </row>
        <row r="204">
          <cell r="G204">
            <v>170500</v>
          </cell>
        </row>
        <row r="205">
          <cell r="G205">
            <v>85000</v>
          </cell>
        </row>
        <row r="206">
          <cell r="G206">
            <v>72200</v>
          </cell>
        </row>
        <row r="207">
          <cell r="G207">
            <v>64980</v>
          </cell>
        </row>
        <row r="208">
          <cell r="G208">
            <v>179975</v>
          </cell>
        </row>
        <row r="209">
          <cell r="G209">
            <v>86466</v>
          </cell>
        </row>
        <row r="210">
          <cell r="G210">
            <v>51039</v>
          </cell>
        </row>
        <row r="211">
          <cell r="G211">
            <v>42533</v>
          </cell>
        </row>
        <row r="212">
          <cell r="G212">
            <v>169000</v>
          </cell>
        </row>
        <row r="213">
          <cell r="G213">
            <v>110600</v>
          </cell>
        </row>
        <row r="214">
          <cell r="G214">
            <v>230000</v>
          </cell>
        </row>
        <row r="215">
          <cell r="G215">
            <v>180000</v>
          </cell>
        </row>
        <row r="216">
          <cell r="G216">
            <v>153600</v>
          </cell>
        </row>
        <row r="217">
          <cell r="G217">
            <v>106800</v>
          </cell>
        </row>
        <row r="218">
          <cell r="G218">
            <v>165000</v>
          </cell>
        </row>
        <row r="219">
          <cell r="G219">
            <v>125000</v>
          </cell>
        </row>
        <row r="220">
          <cell r="G220">
            <v>95000</v>
          </cell>
        </row>
        <row r="221">
          <cell r="G221">
            <v>85500</v>
          </cell>
        </row>
        <row r="222">
          <cell r="G222">
            <v>110000</v>
          </cell>
        </row>
        <row r="223">
          <cell r="G223">
            <v>80000</v>
          </cell>
        </row>
        <row r="224">
          <cell r="G224">
            <v>55000</v>
          </cell>
        </row>
        <row r="225">
          <cell r="G225">
            <v>48000</v>
          </cell>
        </row>
        <row r="226">
          <cell r="G226">
            <v>95000</v>
          </cell>
        </row>
        <row r="227">
          <cell r="G227">
            <v>85000</v>
          </cell>
        </row>
        <row r="228">
          <cell r="G228">
            <v>80000</v>
          </cell>
        </row>
        <row r="229">
          <cell r="G229">
            <v>60000</v>
          </cell>
        </row>
        <row r="230">
          <cell r="G230">
            <v>142000</v>
          </cell>
        </row>
        <row r="231">
          <cell r="G231">
            <v>95000</v>
          </cell>
        </row>
        <row r="232">
          <cell r="G232">
            <v>109371</v>
          </cell>
        </row>
        <row r="233">
          <cell r="G233">
            <v>72914</v>
          </cell>
        </row>
        <row r="234">
          <cell r="G234">
            <v>17779</v>
          </cell>
        </row>
        <row r="235">
          <cell r="G235">
            <v>120000</v>
          </cell>
        </row>
        <row r="236">
          <cell r="G236">
            <v>75000</v>
          </cell>
        </row>
        <row r="237">
          <cell r="G237">
            <v>169000</v>
          </cell>
        </row>
        <row r="238">
          <cell r="G238">
            <v>110600</v>
          </cell>
        </row>
        <row r="239">
          <cell r="G239">
            <v>75000</v>
          </cell>
        </row>
        <row r="240">
          <cell r="G240">
            <v>60000</v>
          </cell>
        </row>
        <row r="241">
          <cell r="G241">
            <v>227000</v>
          </cell>
        </row>
        <row r="242">
          <cell r="G242">
            <v>108000</v>
          </cell>
        </row>
        <row r="243">
          <cell r="G243">
            <v>55800</v>
          </cell>
        </row>
        <row r="244">
          <cell r="G244">
            <v>51508</v>
          </cell>
        </row>
        <row r="245">
          <cell r="G245">
            <v>60000</v>
          </cell>
        </row>
        <row r="246">
          <cell r="G246">
            <v>50000</v>
          </cell>
        </row>
        <row r="247">
          <cell r="G247">
            <v>80000</v>
          </cell>
        </row>
        <row r="248">
          <cell r="G248">
            <v>52500</v>
          </cell>
        </row>
        <row r="249">
          <cell r="G249">
            <v>85000</v>
          </cell>
        </row>
        <row r="250">
          <cell r="G250">
            <v>75000</v>
          </cell>
        </row>
        <row r="251">
          <cell r="G251">
            <v>153600</v>
          </cell>
        </row>
        <row r="252">
          <cell r="G252">
            <v>106800</v>
          </cell>
        </row>
        <row r="253">
          <cell r="G253">
            <v>165000</v>
          </cell>
        </row>
        <row r="254">
          <cell r="G254">
            <v>124000</v>
          </cell>
        </row>
        <row r="255">
          <cell r="G255">
            <v>115934</v>
          </cell>
        </row>
        <row r="256">
          <cell r="G256">
            <v>81666</v>
          </cell>
        </row>
        <row r="257">
          <cell r="G257">
            <v>16414</v>
          </cell>
        </row>
        <row r="258">
          <cell r="G258">
            <v>125000</v>
          </cell>
        </row>
        <row r="259">
          <cell r="G259">
            <v>105000</v>
          </cell>
        </row>
        <row r="260">
          <cell r="G260">
            <v>109371</v>
          </cell>
        </row>
        <row r="261">
          <cell r="G261">
            <v>85066</v>
          </cell>
        </row>
        <row r="262">
          <cell r="G262">
            <v>55000</v>
          </cell>
        </row>
        <row r="263">
          <cell r="G263">
            <v>48000</v>
          </cell>
        </row>
        <row r="264">
          <cell r="G264">
            <v>100000</v>
          </cell>
        </row>
        <row r="265">
          <cell r="G265">
            <v>385000</v>
          </cell>
        </row>
        <row r="266">
          <cell r="G266">
            <v>60000</v>
          </cell>
        </row>
        <row r="267">
          <cell r="G267">
            <v>110000</v>
          </cell>
        </row>
        <row r="268">
          <cell r="G268">
            <v>95000</v>
          </cell>
        </row>
        <row r="269">
          <cell r="G269">
            <v>180180</v>
          </cell>
        </row>
        <row r="270">
          <cell r="G270">
            <v>106020</v>
          </cell>
        </row>
        <row r="271">
          <cell r="G271">
            <v>93919</v>
          </cell>
        </row>
        <row r="272">
          <cell r="G272">
            <v>51962</v>
          </cell>
        </row>
        <row r="273">
          <cell r="G273">
            <v>192500</v>
          </cell>
        </row>
        <row r="274">
          <cell r="G274">
            <v>140000</v>
          </cell>
        </row>
        <row r="275">
          <cell r="G275">
            <v>60761</v>
          </cell>
        </row>
        <row r="276">
          <cell r="G276">
            <v>54685</v>
          </cell>
        </row>
        <row r="277">
          <cell r="G277">
            <v>155000</v>
          </cell>
        </row>
        <row r="278">
          <cell r="G278">
            <v>140000</v>
          </cell>
        </row>
        <row r="279">
          <cell r="G279">
            <v>204500</v>
          </cell>
        </row>
        <row r="280">
          <cell r="G280">
            <v>138900</v>
          </cell>
        </row>
        <row r="281">
          <cell r="G281">
            <v>130000</v>
          </cell>
        </row>
        <row r="282">
          <cell r="G282">
            <v>100000</v>
          </cell>
        </row>
        <row r="283">
          <cell r="G283">
            <v>153600</v>
          </cell>
        </row>
        <row r="284">
          <cell r="G284">
            <v>106800</v>
          </cell>
        </row>
        <row r="285">
          <cell r="G285">
            <v>150000</v>
          </cell>
        </row>
        <row r="286">
          <cell r="G286">
            <v>100000</v>
          </cell>
        </row>
        <row r="287">
          <cell r="G287">
            <v>180180</v>
          </cell>
        </row>
        <row r="288">
          <cell r="G288">
            <v>106020</v>
          </cell>
        </row>
        <row r="289">
          <cell r="G289">
            <v>122000</v>
          </cell>
        </row>
        <row r="290">
          <cell r="G290">
            <v>94000</v>
          </cell>
        </row>
        <row r="291">
          <cell r="G291">
            <v>175000</v>
          </cell>
        </row>
        <row r="292">
          <cell r="G292">
            <v>145000</v>
          </cell>
        </row>
        <row r="293">
          <cell r="G293">
            <v>103200</v>
          </cell>
        </row>
        <row r="294">
          <cell r="G294">
            <v>61200</v>
          </cell>
        </row>
        <row r="295">
          <cell r="G295">
            <v>130000</v>
          </cell>
        </row>
        <row r="296">
          <cell r="G296">
            <v>87000</v>
          </cell>
        </row>
        <row r="297">
          <cell r="G297">
            <v>160000</v>
          </cell>
        </row>
        <row r="298">
          <cell r="G298">
            <v>108000</v>
          </cell>
        </row>
        <row r="299">
          <cell r="G299">
            <v>30000</v>
          </cell>
        </row>
        <row r="300">
          <cell r="G300">
            <v>206000</v>
          </cell>
        </row>
        <row r="301">
          <cell r="G301">
            <v>160000</v>
          </cell>
        </row>
        <row r="302">
          <cell r="G302">
            <v>109000</v>
          </cell>
        </row>
        <row r="303">
          <cell r="G303">
            <v>79000</v>
          </cell>
        </row>
        <row r="304">
          <cell r="G304">
            <v>160000</v>
          </cell>
        </row>
        <row r="305">
          <cell r="G305">
            <v>125600</v>
          </cell>
        </row>
        <row r="306">
          <cell r="G306">
            <v>141290</v>
          </cell>
        </row>
        <row r="307">
          <cell r="G307">
            <v>74178</v>
          </cell>
        </row>
        <row r="308">
          <cell r="G308">
            <v>80000</v>
          </cell>
        </row>
        <row r="309">
          <cell r="G309">
            <v>52500</v>
          </cell>
        </row>
        <row r="310">
          <cell r="G310">
            <v>125000</v>
          </cell>
        </row>
        <row r="311">
          <cell r="G311">
            <v>110000</v>
          </cell>
        </row>
        <row r="312">
          <cell r="G312">
            <v>90000</v>
          </cell>
        </row>
        <row r="313">
          <cell r="G313">
            <v>80000</v>
          </cell>
        </row>
        <row r="314">
          <cell r="G314">
            <v>48000</v>
          </cell>
        </row>
        <row r="315">
          <cell r="G315">
            <v>150000</v>
          </cell>
        </row>
        <row r="316">
          <cell r="G316">
            <v>100000</v>
          </cell>
        </row>
        <row r="317">
          <cell r="G317">
            <v>12877</v>
          </cell>
        </row>
        <row r="318">
          <cell r="G318">
            <v>17509</v>
          </cell>
        </row>
        <row r="319">
          <cell r="G319">
            <v>51508</v>
          </cell>
        </row>
        <row r="320">
          <cell r="G320">
            <v>40777</v>
          </cell>
        </row>
        <row r="321">
          <cell r="G321">
            <v>51508</v>
          </cell>
        </row>
        <row r="322">
          <cell r="G322">
            <v>40777</v>
          </cell>
        </row>
        <row r="323">
          <cell r="G323">
            <v>120000</v>
          </cell>
        </row>
        <row r="324">
          <cell r="G324">
            <v>100000</v>
          </cell>
        </row>
        <row r="325">
          <cell r="G325">
            <v>145000</v>
          </cell>
        </row>
        <row r="326">
          <cell r="G326">
            <v>102500</v>
          </cell>
        </row>
        <row r="327">
          <cell r="G327">
            <v>135000</v>
          </cell>
        </row>
        <row r="328">
          <cell r="G328">
            <v>105500</v>
          </cell>
        </row>
        <row r="329">
          <cell r="G329">
            <v>78990</v>
          </cell>
        </row>
        <row r="330">
          <cell r="G330">
            <v>43809</v>
          </cell>
        </row>
        <row r="331">
          <cell r="G331">
            <v>116000</v>
          </cell>
        </row>
        <row r="332">
          <cell r="G332">
            <v>72000</v>
          </cell>
        </row>
        <row r="333">
          <cell r="G333">
            <v>120000</v>
          </cell>
        </row>
        <row r="334">
          <cell r="G334">
            <v>80000</v>
          </cell>
        </row>
        <row r="335">
          <cell r="G335">
            <v>150000</v>
          </cell>
        </row>
        <row r="336">
          <cell r="G336">
            <v>100000</v>
          </cell>
        </row>
        <row r="337">
          <cell r="G337">
            <v>240500</v>
          </cell>
        </row>
        <row r="338">
          <cell r="G338">
            <v>137500</v>
          </cell>
        </row>
        <row r="339">
          <cell r="G339">
            <v>25216</v>
          </cell>
        </row>
        <row r="340">
          <cell r="G340">
            <v>125000</v>
          </cell>
        </row>
        <row r="341">
          <cell r="G341">
            <v>85000</v>
          </cell>
        </row>
        <row r="342">
          <cell r="G342">
            <v>130000</v>
          </cell>
        </row>
        <row r="343">
          <cell r="G343">
            <v>80000</v>
          </cell>
        </row>
        <row r="344">
          <cell r="G344">
            <v>18314</v>
          </cell>
        </row>
        <row r="345">
          <cell r="G345">
            <v>133000</v>
          </cell>
        </row>
        <row r="346">
          <cell r="G346">
            <v>155000</v>
          </cell>
        </row>
        <row r="347">
          <cell r="G347">
            <v>64000</v>
          </cell>
        </row>
        <row r="348">
          <cell r="G348">
            <v>14307</v>
          </cell>
        </row>
        <row r="349">
          <cell r="G349">
            <v>150000</v>
          </cell>
        </row>
        <row r="350">
          <cell r="G350">
            <v>100000</v>
          </cell>
        </row>
        <row r="351">
          <cell r="G351">
            <v>150000</v>
          </cell>
        </row>
        <row r="352">
          <cell r="G352">
            <v>100000</v>
          </cell>
        </row>
        <row r="353">
          <cell r="G353">
            <v>150000</v>
          </cell>
        </row>
        <row r="354">
          <cell r="G354">
            <v>100000</v>
          </cell>
        </row>
        <row r="355">
          <cell r="G355">
            <v>149000</v>
          </cell>
        </row>
        <row r="356">
          <cell r="G356">
            <v>119000</v>
          </cell>
        </row>
        <row r="357">
          <cell r="G357">
            <v>100000</v>
          </cell>
        </row>
        <row r="358">
          <cell r="G358">
            <v>75000</v>
          </cell>
        </row>
        <row r="359">
          <cell r="G359">
            <v>60000</v>
          </cell>
        </row>
        <row r="360">
          <cell r="G360">
            <v>120000</v>
          </cell>
        </row>
        <row r="361">
          <cell r="G361">
            <v>95000</v>
          </cell>
        </row>
        <row r="362">
          <cell r="G362">
            <v>150000</v>
          </cell>
        </row>
        <row r="363">
          <cell r="G363">
            <v>100000</v>
          </cell>
        </row>
        <row r="364">
          <cell r="G364">
            <v>115934</v>
          </cell>
        </row>
        <row r="365">
          <cell r="G365">
            <v>81666</v>
          </cell>
        </row>
        <row r="366">
          <cell r="G366">
            <v>55000</v>
          </cell>
        </row>
        <row r="367">
          <cell r="G367">
            <v>48000</v>
          </cell>
        </row>
        <row r="368">
          <cell r="G368">
            <v>127000</v>
          </cell>
        </row>
        <row r="369">
          <cell r="G369">
            <v>104000</v>
          </cell>
        </row>
        <row r="370">
          <cell r="G370">
            <v>102640</v>
          </cell>
        </row>
        <row r="371">
          <cell r="G371">
            <v>66100</v>
          </cell>
        </row>
        <row r="372">
          <cell r="G372">
            <v>150000</v>
          </cell>
        </row>
        <row r="373">
          <cell r="G373">
            <v>100000</v>
          </cell>
        </row>
        <row r="374">
          <cell r="G374">
            <v>115934</v>
          </cell>
        </row>
        <row r="375">
          <cell r="G375">
            <v>81666</v>
          </cell>
        </row>
        <row r="376">
          <cell r="G376">
            <v>430967</v>
          </cell>
        </row>
        <row r="377">
          <cell r="G377">
            <v>55410</v>
          </cell>
        </row>
        <row r="378">
          <cell r="G378">
            <v>50432</v>
          </cell>
        </row>
        <row r="379">
          <cell r="G379">
            <v>39925</v>
          </cell>
        </row>
        <row r="380">
          <cell r="G380">
            <v>169000</v>
          </cell>
        </row>
        <row r="381">
          <cell r="G381">
            <v>110600</v>
          </cell>
        </row>
        <row r="382">
          <cell r="G382">
            <v>60938</v>
          </cell>
        </row>
        <row r="383">
          <cell r="G383">
            <v>75000</v>
          </cell>
        </row>
        <row r="384">
          <cell r="G384">
            <v>60000</v>
          </cell>
        </row>
        <row r="385">
          <cell r="G385">
            <v>50000</v>
          </cell>
        </row>
        <row r="386">
          <cell r="G386">
            <v>166700</v>
          </cell>
        </row>
        <row r="387">
          <cell r="G387">
            <v>119000</v>
          </cell>
        </row>
        <row r="388">
          <cell r="G388">
            <v>100000</v>
          </cell>
        </row>
        <row r="389">
          <cell r="G389">
            <v>65000</v>
          </cell>
        </row>
        <row r="390">
          <cell r="G390">
            <v>16904</v>
          </cell>
        </row>
        <row r="391">
          <cell r="G391">
            <v>50000</v>
          </cell>
        </row>
        <row r="392">
          <cell r="G392">
            <v>150000</v>
          </cell>
        </row>
        <row r="393">
          <cell r="G393">
            <v>100000</v>
          </cell>
        </row>
        <row r="394">
          <cell r="G394">
            <v>115934</v>
          </cell>
        </row>
        <row r="395">
          <cell r="G395">
            <v>81666</v>
          </cell>
        </row>
        <row r="396">
          <cell r="G396">
            <v>120000</v>
          </cell>
        </row>
        <row r="397">
          <cell r="G397">
            <v>95000</v>
          </cell>
        </row>
        <row r="398">
          <cell r="G398">
            <v>201000</v>
          </cell>
        </row>
        <row r="399">
          <cell r="G399">
            <v>89200</v>
          </cell>
        </row>
        <row r="400">
          <cell r="G400">
            <v>192500</v>
          </cell>
        </row>
        <row r="401">
          <cell r="G401">
            <v>140000</v>
          </cell>
        </row>
        <row r="402">
          <cell r="G402">
            <v>65000</v>
          </cell>
        </row>
        <row r="403">
          <cell r="G403">
            <v>55000</v>
          </cell>
        </row>
        <row r="404">
          <cell r="G404">
            <v>95000</v>
          </cell>
        </row>
        <row r="405">
          <cell r="G405">
            <v>115000</v>
          </cell>
        </row>
        <row r="406">
          <cell r="G406">
            <v>171000</v>
          </cell>
        </row>
        <row r="407">
          <cell r="G407">
            <v>50000</v>
          </cell>
        </row>
        <row r="408">
          <cell r="G408">
            <v>150000</v>
          </cell>
        </row>
        <row r="409">
          <cell r="G409">
            <v>100000</v>
          </cell>
        </row>
        <row r="410">
          <cell r="G410">
            <v>165000</v>
          </cell>
        </row>
        <row r="411">
          <cell r="G411">
            <v>124000</v>
          </cell>
        </row>
        <row r="412">
          <cell r="G412">
            <v>169000</v>
          </cell>
        </row>
        <row r="413">
          <cell r="G413">
            <v>110600</v>
          </cell>
        </row>
        <row r="414">
          <cell r="G414">
            <v>116000</v>
          </cell>
        </row>
        <row r="415">
          <cell r="G415">
            <v>96000</v>
          </cell>
        </row>
        <row r="416">
          <cell r="G416">
            <v>92350</v>
          </cell>
        </row>
        <row r="417">
          <cell r="G417">
            <v>70186</v>
          </cell>
        </row>
        <row r="418">
          <cell r="G418">
            <v>105000</v>
          </cell>
        </row>
        <row r="419">
          <cell r="G419">
            <v>70000</v>
          </cell>
        </row>
        <row r="420">
          <cell r="G420">
            <v>100000</v>
          </cell>
        </row>
        <row r="421">
          <cell r="G421">
            <v>70000</v>
          </cell>
        </row>
        <row r="422">
          <cell r="G422">
            <v>130000</v>
          </cell>
        </row>
        <row r="423">
          <cell r="G423">
            <v>100000</v>
          </cell>
        </row>
        <row r="424">
          <cell r="G424">
            <v>160000</v>
          </cell>
        </row>
        <row r="425">
          <cell r="G425">
            <v>109000</v>
          </cell>
        </row>
        <row r="426">
          <cell r="G426">
            <v>206000</v>
          </cell>
        </row>
        <row r="427">
          <cell r="G427">
            <v>160000</v>
          </cell>
        </row>
        <row r="428">
          <cell r="G428">
            <v>150000</v>
          </cell>
        </row>
        <row r="429">
          <cell r="G429">
            <v>100000</v>
          </cell>
        </row>
        <row r="430">
          <cell r="G430">
            <v>169000</v>
          </cell>
        </row>
        <row r="431">
          <cell r="G431">
            <v>110600</v>
          </cell>
        </row>
        <row r="432">
          <cell r="G432">
            <v>80000</v>
          </cell>
        </row>
        <row r="433">
          <cell r="G433">
            <v>155000</v>
          </cell>
        </row>
        <row r="434">
          <cell r="G434">
            <v>140000</v>
          </cell>
        </row>
        <row r="435">
          <cell r="G435">
            <v>105066</v>
          </cell>
        </row>
        <row r="436">
          <cell r="G436">
            <v>130000</v>
          </cell>
        </row>
        <row r="437">
          <cell r="G437">
            <v>100000</v>
          </cell>
        </row>
        <row r="438">
          <cell r="G438">
            <v>165000</v>
          </cell>
        </row>
        <row r="439">
          <cell r="G439">
            <v>124000</v>
          </cell>
        </row>
        <row r="440">
          <cell r="G440">
            <v>150000</v>
          </cell>
        </row>
        <row r="441">
          <cell r="G441">
            <v>100000</v>
          </cell>
        </row>
        <row r="442">
          <cell r="G442">
            <v>100000</v>
          </cell>
        </row>
        <row r="443">
          <cell r="G443">
            <v>65000</v>
          </cell>
        </row>
        <row r="444">
          <cell r="G444">
            <v>177000</v>
          </cell>
        </row>
        <row r="445">
          <cell r="G445">
            <v>131000</v>
          </cell>
        </row>
        <row r="446">
          <cell r="G446">
            <v>169000</v>
          </cell>
        </row>
        <row r="447">
          <cell r="G447">
            <v>110600</v>
          </cell>
        </row>
        <row r="448">
          <cell r="G448">
            <v>150000</v>
          </cell>
        </row>
        <row r="449">
          <cell r="G449">
            <v>100000</v>
          </cell>
        </row>
        <row r="450">
          <cell r="G450">
            <v>110000</v>
          </cell>
        </row>
        <row r="451">
          <cell r="G451">
            <v>95000</v>
          </cell>
        </row>
        <row r="452">
          <cell r="G452">
            <v>169000</v>
          </cell>
        </row>
        <row r="453">
          <cell r="G453">
            <v>110600</v>
          </cell>
        </row>
        <row r="454">
          <cell r="G454">
            <v>115934</v>
          </cell>
        </row>
        <row r="455">
          <cell r="G455">
            <v>81666</v>
          </cell>
        </row>
        <row r="456">
          <cell r="G456">
            <v>12000</v>
          </cell>
        </row>
        <row r="457">
          <cell r="G457">
            <v>154560</v>
          </cell>
        </row>
        <row r="458">
          <cell r="G458">
            <v>123648</v>
          </cell>
        </row>
        <row r="459">
          <cell r="G459">
            <v>130000</v>
          </cell>
        </row>
        <row r="460">
          <cell r="G460">
            <v>100000</v>
          </cell>
        </row>
        <row r="461">
          <cell r="G461">
            <v>130000</v>
          </cell>
        </row>
        <row r="462">
          <cell r="G462">
            <v>105000</v>
          </cell>
        </row>
        <row r="463">
          <cell r="G463">
            <v>206000</v>
          </cell>
        </row>
        <row r="464">
          <cell r="G464">
            <v>160000</v>
          </cell>
        </row>
        <row r="465">
          <cell r="G465">
            <v>109000</v>
          </cell>
        </row>
        <row r="466">
          <cell r="G466">
            <v>79000</v>
          </cell>
        </row>
        <row r="467">
          <cell r="G467">
            <v>160000</v>
          </cell>
        </row>
        <row r="468">
          <cell r="G468">
            <v>109000</v>
          </cell>
        </row>
        <row r="469">
          <cell r="G469">
            <v>127000</v>
          </cell>
        </row>
        <row r="470">
          <cell r="G470">
            <v>110000</v>
          </cell>
        </row>
        <row r="471">
          <cell r="G471">
            <v>169000</v>
          </cell>
        </row>
        <row r="472">
          <cell r="G472">
            <v>110600</v>
          </cell>
        </row>
        <row r="473">
          <cell r="G473">
            <v>150000</v>
          </cell>
        </row>
        <row r="474">
          <cell r="G474">
            <v>100000</v>
          </cell>
        </row>
        <row r="475">
          <cell r="G475">
            <v>120000</v>
          </cell>
        </row>
        <row r="476">
          <cell r="G476">
            <v>95000</v>
          </cell>
        </row>
        <row r="477">
          <cell r="G477">
            <v>64000</v>
          </cell>
        </row>
        <row r="478">
          <cell r="G478">
            <v>150000</v>
          </cell>
        </row>
        <row r="479">
          <cell r="G479">
            <v>127000</v>
          </cell>
        </row>
        <row r="480">
          <cell r="G480">
            <v>76000</v>
          </cell>
        </row>
        <row r="481">
          <cell r="G481">
            <v>166700</v>
          </cell>
        </row>
        <row r="482">
          <cell r="G482">
            <v>119000</v>
          </cell>
        </row>
        <row r="483">
          <cell r="G483">
            <v>130000</v>
          </cell>
        </row>
        <row r="484">
          <cell r="G484">
            <v>100000</v>
          </cell>
        </row>
        <row r="485">
          <cell r="G485">
            <v>80000</v>
          </cell>
        </row>
        <row r="486">
          <cell r="G486">
            <v>52500</v>
          </cell>
        </row>
        <row r="487">
          <cell r="G487">
            <v>135000</v>
          </cell>
        </row>
        <row r="488">
          <cell r="G488">
            <v>100000</v>
          </cell>
        </row>
        <row r="489">
          <cell r="G489">
            <v>125404</v>
          </cell>
        </row>
        <row r="490">
          <cell r="G490">
            <v>123000</v>
          </cell>
        </row>
        <row r="491">
          <cell r="G491">
            <v>92250</v>
          </cell>
        </row>
        <row r="492">
          <cell r="G492">
            <v>80000</v>
          </cell>
        </row>
        <row r="493">
          <cell r="G493">
            <v>52500</v>
          </cell>
        </row>
        <row r="494">
          <cell r="G494">
            <v>50432</v>
          </cell>
        </row>
        <row r="495">
          <cell r="G495">
            <v>36773</v>
          </cell>
        </row>
        <row r="496">
          <cell r="G496">
            <v>150000</v>
          </cell>
        </row>
        <row r="497">
          <cell r="G497">
            <v>95000</v>
          </cell>
        </row>
        <row r="498">
          <cell r="G498">
            <v>78000</v>
          </cell>
        </row>
        <row r="499">
          <cell r="G499">
            <v>48000</v>
          </cell>
        </row>
        <row r="500">
          <cell r="G500">
            <v>175950</v>
          </cell>
        </row>
        <row r="501">
          <cell r="G501">
            <v>130050</v>
          </cell>
        </row>
        <row r="502">
          <cell r="G502">
            <v>236600</v>
          </cell>
        </row>
        <row r="503">
          <cell r="G503">
            <v>89200</v>
          </cell>
        </row>
        <row r="504">
          <cell r="G504">
            <v>200000</v>
          </cell>
        </row>
        <row r="505">
          <cell r="G505">
            <v>169000</v>
          </cell>
        </row>
        <row r="506">
          <cell r="G506">
            <v>110600</v>
          </cell>
        </row>
        <row r="507">
          <cell r="G507">
            <v>85000</v>
          </cell>
        </row>
        <row r="508">
          <cell r="G508">
            <v>65000</v>
          </cell>
        </row>
        <row r="509">
          <cell r="G509">
            <v>169000</v>
          </cell>
        </row>
        <row r="510">
          <cell r="G510">
            <v>110600</v>
          </cell>
        </row>
        <row r="511">
          <cell r="G511">
            <v>139600</v>
          </cell>
        </row>
        <row r="512">
          <cell r="G512">
            <v>85700</v>
          </cell>
        </row>
        <row r="513">
          <cell r="G513">
            <v>115000</v>
          </cell>
        </row>
        <row r="514">
          <cell r="G514">
            <v>95000</v>
          </cell>
        </row>
        <row r="515">
          <cell r="G515">
            <v>105000</v>
          </cell>
        </row>
        <row r="516">
          <cell r="G516">
            <v>62000</v>
          </cell>
        </row>
        <row r="517">
          <cell r="G517">
            <v>57000</v>
          </cell>
        </row>
        <row r="518">
          <cell r="G518">
            <v>115934</v>
          </cell>
        </row>
        <row r="519">
          <cell r="G519">
            <v>81666</v>
          </cell>
        </row>
        <row r="520">
          <cell r="G520">
            <v>50432</v>
          </cell>
        </row>
        <row r="521">
          <cell r="G521">
            <v>36773</v>
          </cell>
        </row>
        <row r="522">
          <cell r="G522">
            <v>200000</v>
          </cell>
        </row>
        <row r="523">
          <cell r="G523">
            <v>90000</v>
          </cell>
        </row>
        <row r="524">
          <cell r="G524">
            <v>45050</v>
          </cell>
        </row>
        <row r="525">
          <cell r="G525">
            <v>42028</v>
          </cell>
        </row>
        <row r="526">
          <cell r="G526">
            <v>20000</v>
          </cell>
        </row>
        <row r="527">
          <cell r="G527">
            <v>99750</v>
          </cell>
        </row>
        <row r="528">
          <cell r="G528">
            <v>68400</v>
          </cell>
        </row>
        <row r="529">
          <cell r="G529">
            <v>110000</v>
          </cell>
        </row>
        <row r="530">
          <cell r="G530">
            <v>99000</v>
          </cell>
        </row>
        <row r="531">
          <cell r="G531">
            <v>50432</v>
          </cell>
        </row>
        <row r="532">
          <cell r="G532">
            <v>36773</v>
          </cell>
        </row>
        <row r="533">
          <cell r="G533">
            <v>150000</v>
          </cell>
        </row>
        <row r="534">
          <cell r="G534">
            <v>144000</v>
          </cell>
        </row>
        <row r="535">
          <cell r="G535">
            <v>113000</v>
          </cell>
        </row>
        <row r="536">
          <cell r="G536">
            <v>8050</v>
          </cell>
        </row>
        <row r="537">
          <cell r="G537">
            <v>50000</v>
          </cell>
        </row>
        <row r="538">
          <cell r="G538">
            <v>7799</v>
          </cell>
        </row>
        <row r="539">
          <cell r="G539">
            <v>136000</v>
          </cell>
        </row>
        <row r="540">
          <cell r="G540">
            <v>112000</v>
          </cell>
        </row>
        <row r="541">
          <cell r="G541">
            <v>97500</v>
          </cell>
        </row>
        <row r="542">
          <cell r="G542">
            <v>6359</v>
          </cell>
        </row>
        <row r="543">
          <cell r="G543">
            <v>75000</v>
          </cell>
        </row>
        <row r="544">
          <cell r="G544">
            <v>115000</v>
          </cell>
        </row>
        <row r="545">
          <cell r="G545">
            <v>81000</v>
          </cell>
        </row>
        <row r="546">
          <cell r="G546">
            <v>66000</v>
          </cell>
        </row>
        <row r="547">
          <cell r="G547">
            <v>46000</v>
          </cell>
        </row>
        <row r="548">
          <cell r="G548">
            <v>113000</v>
          </cell>
        </row>
        <row r="549">
          <cell r="G549">
            <v>113000</v>
          </cell>
        </row>
        <row r="550">
          <cell r="G550">
            <v>140000</v>
          </cell>
        </row>
        <row r="551">
          <cell r="G551">
            <v>50000</v>
          </cell>
        </row>
        <row r="552">
          <cell r="G552">
            <v>53368</v>
          </cell>
        </row>
        <row r="553">
          <cell r="G553">
            <v>6270</v>
          </cell>
        </row>
        <row r="554">
          <cell r="G554">
            <v>216200</v>
          </cell>
        </row>
        <row r="555">
          <cell r="G555">
            <v>144100</v>
          </cell>
        </row>
        <row r="556">
          <cell r="G556">
            <v>117000</v>
          </cell>
        </row>
        <row r="557">
          <cell r="G557">
            <v>99450</v>
          </cell>
        </row>
        <row r="558">
          <cell r="G558">
            <v>86193</v>
          </cell>
        </row>
        <row r="559">
          <cell r="G559">
            <v>61566</v>
          </cell>
        </row>
        <row r="560">
          <cell r="G560">
            <v>175000</v>
          </cell>
        </row>
        <row r="561">
          <cell r="G561">
            <v>130000</v>
          </cell>
        </row>
        <row r="562">
          <cell r="G562">
            <v>5723</v>
          </cell>
        </row>
        <row r="563">
          <cell r="G563">
            <v>50432</v>
          </cell>
        </row>
        <row r="564">
          <cell r="G564">
            <v>50000</v>
          </cell>
        </row>
        <row r="565">
          <cell r="G565">
            <v>216200</v>
          </cell>
        </row>
        <row r="566">
          <cell r="G566">
            <v>144100</v>
          </cell>
        </row>
        <row r="567">
          <cell r="G567">
            <v>150000</v>
          </cell>
        </row>
        <row r="568">
          <cell r="G568">
            <v>55000</v>
          </cell>
        </row>
        <row r="569">
          <cell r="G569">
            <v>130000</v>
          </cell>
        </row>
        <row r="570">
          <cell r="G570">
            <v>28368</v>
          </cell>
        </row>
        <row r="571">
          <cell r="G571">
            <v>128875</v>
          </cell>
        </row>
        <row r="572">
          <cell r="G572">
            <v>93700</v>
          </cell>
        </row>
        <row r="573">
          <cell r="G573">
            <v>136260</v>
          </cell>
        </row>
        <row r="574">
          <cell r="G574">
            <v>109280</v>
          </cell>
        </row>
        <row r="575">
          <cell r="G575">
            <v>117000</v>
          </cell>
        </row>
        <row r="576">
          <cell r="G576">
            <v>99450</v>
          </cell>
        </row>
        <row r="577">
          <cell r="G577">
            <v>100000</v>
          </cell>
        </row>
        <row r="578">
          <cell r="G578">
            <v>65257</v>
          </cell>
        </row>
        <row r="579">
          <cell r="G579">
            <v>150075</v>
          </cell>
        </row>
        <row r="580">
          <cell r="G580">
            <v>110925</v>
          </cell>
        </row>
        <row r="581">
          <cell r="G581">
            <v>22809</v>
          </cell>
        </row>
        <row r="582">
          <cell r="G582">
            <v>15000</v>
          </cell>
        </row>
        <row r="583">
          <cell r="G583">
            <v>112900</v>
          </cell>
        </row>
        <row r="584">
          <cell r="G584">
            <v>90320</v>
          </cell>
        </row>
        <row r="585">
          <cell r="G585">
            <v>112900</v>
          </cell>
        </row>
        <row r="586">
          <cell r="G586">
            <v>90320</v>
          </cell>
        </row>
        <row r="587">
          <cell r="G587">
            <v>145000</v>
          </cell>
        </row>
        <row r="588">
          <cell r="G588">
            <v>105400</v>
          </cell>
        </row>
        <row r="589">
          <cell r="G589">
            <v>115934</v>
          </cell>
        </row>
        <row r="590">
          <cell r="G590">
            <v>81666</v>
          </cell>
        </row>
        <row r="591">
          <cell r="G591">
            <v>164000</v>
          </cell>
        </row>
        <row r="592">
          <cell r="G592">
            <v>132000</v>
          </cell>
        </row>
        <row r="593">
          <cell r="G593">
            <v>128875</v>
          </cell>
        </row>
        <row r="594">
          <cell r="G594">
            <v>93700</v>
          </cell>
        </row>
        <row r="595">
          <cell r="G595">
            <v>49253</v>
          </cell>
        </row>
        <row r="596">
          <cell r="G596">
            <v>36940</v>
          </cell>
        </row>
        <row r="597">
          <cell r="G597">
            <v>42026</v>
          </cell>
        </row>
        <row r="598">
          <cell r="G598">
            <v>31520</v>
          </cell>
        </row>
        <row r="599">
          <cell r="G599">
            <v>42026</v>
          </cell>
        </row>
        <row r="600">
          <cell r="G600">
            <v>31520</v>
          </cell>
        </row>
        <row r="601">
          <cell r="G601">
            <v>58000</v>
          </cell>
        </row>
        <row r="602">
          <cell r="G602">
            <v>58000</v>
          </cell>
        </row>
        <row r="603">
          <cell r="G603">
            <v>124190</v>
          </cell>
        </row>
        <row r="604">
          <cell r="G604">
            <v>90320</v>
          </cell>
        </row>
        <row r="605">
          <cell r="G605">
            <v>126500</v>
          </cell>
        </row>
        <row r="606">
          <cell r="G606">
            <v>106260</v>
          </cell>
        </row>
        <row r="607">
          <cell r="G607">
            <v>116000</v>
          </cell>
        </row>
        <row r="608">
          <cell r="G608">
            <v>99000</v>
          </cell>
        </row>
        <row r="609">
          <cell r="G609">
            <v>155000</v>
          </cell>
        </row>
        <row r="610">
          <cell r="G610">
            <v>120600</v>
          </cell>
        </row>
        <row r="611">
          <cell r="G611">
            <v>102100</v>
          </cell>
        </row>
        <row r="612">
          <cell r="G612">
            <v>84900</v>
          </cell>
        </row>
        <row r="613">
          <cell r="G613">
            <v>130000</v>
          </cell>
        </row>
        <row r="614">
          <cell r="G614">
            <v>110000</v>
          </cell>
        </row>
        <row r="615">
          <cell r="G615">
            <v>170000</v>
          </cell>
        </row>
        <row r="616">
          <cell r="G616">
            <v>135000</v>
          </cell>
        </row>
        <row r="617">
          <cell r="G617">
            <v>130000</v>
          </cell>
        </row>
        <row r="618">
          <cell r="G618">
            <v>61300</v>
          </cell>
        </row>
        <row r="619">
          <cell r="G619">
            <v>130000</v>
          </cell>
        </row>
        <row r="620">
          <cell r="G620">
            <v>61300</v>
          </cell>
        </row>
        <row r="621">
          <cell r="G621">
            <v>167000</v>
          </cell>
        </row>
        <row r="622">
          <cell r="G622">
            <v>115500</v>
          </cell>
        </row>
        <row r="623">
          <cell r="G623">
            <v>112900</v>
          </cell>
        </row>
        <row r="624">
          <cell r="G624">
            <v>90320</v>
          </cell>
        </row>
        <row r="625">
          <cell r="G625">
            <v>112900</v>
          </cell>
        </row>
        <row r="626">
          <cell r="G626">
            <v>90320</v>
          </cell>
        </row>
        <row r="627">
          <cell r="G627">
            <v>136600</v>
          </cell>
        </row>
        <row r="628">
          <cell r="G628">
            <v>109280</v>
          </cell>
        </row>
        <row r="629">
          <cell r="G629">
            <v>116150</v>
          </cell>
        </row>
        <row r="630">
          <cell r="G630">
            <v>99050</v>
          </cell>
        </row>
        <row r="631">
          <cell r="G631">
            <v>112900</v>
          </cell>
        </row>
        <row r="632">
          <cell r="G632">
            <v>90320</v>
          </cell>
        </row>
        <row r="633">
          <cell r="G633">
            <v>85000</v>
          </cell>
        </row>
        <row r="634">
          <cell r="G634">
            <v>75000</v>
          </cell>
        </row>
        <row r="635">
          <cell r="G635">
            <v>115934</v>
          </cell>
        </row>
        <row r="636">
          <cell r="G636">
            <v>81666</v>
          </cell>
        </row>
        <row r="637">
          <cell r="G637">
            <v>61566</v>
          </cell>
        </row>
        <row r="638">
          <cell r="G638">
            <v>43096</v>
          </cell>
        </row>
        <row r="639">
          <cell r="G639">
            <v>80000</v>
          </cell>
        </row>
        <row r="640">
          <cell r="G640">
            <v>60000</v>
          </cell>
        </row>
        <row r="641">
          <cell r="G641">
            <v>150260</v>
          </cell>
        </row>
        <row r="642">
          <cell r="G642">
            <v>109280</v>
          </cell>
        </row>
        <row r="643">
          <cell r="G643">
            <v>170000</v>
          </cell>
        </row>
        <row r="644">
          <cell r="G644">
            <v>150000</v>
          </cell>
        </row>
        <row r="645">
          <cell r="G645">
            <v>67000</v>
          </cell>
        </row>
        <row r="646">
          <cell r="G646">
            <v>52000</v>
          </cell>
        </row>
        <row r="647">
          <cell r="G647">
            <v>129000</v>
          </cell>
        </row>
        <row r="648">
          <cell r="G648">
            <v>99000</v>
          </cell>
        </row>
        <row r="649">
          <cell r="G649">
            <v>100000</v>
          </cell>
        </row>
        <row r="650">
          <cell r="G650">
            <v>69000</v>
          </cell>
        </row>
        <row r="651">
          <cell r="G651">
            <v>150075</v>
          </cell>
        </row>
        <row r="652">
          <cell r="G652">
            <v>110925</v>
          </cell>
        </row>
        <row r="653">
          <cell r="G653">
            <v>126500</v>
          </cell>
        </row>
        <row r="654">
          <cell r="G654">
            <v>106260</v>
          </cell>
        </row>
        <row r="655">
          <cell r="G655">
            <v>105000</v>
          </cell>
        </row>
        <row r="656">
          <cell r="G656">
            <v>100000</v>
          </cell>
        </row>
        <row r="657">
          <cell r="G657">
            <v>170000</v>
          </cell>
        </row>
        <row r="658">
          <cell r="G658">
            <v>135000</v>
          </cell>
        </row>
        <row r="659">
          <cell r="G659">
            <v>135000</v>
          </cell>
        </row>
        <row r="660">
          <cell r="G660">
            <v>50000</v>
          </cell>
        </row>
        <row r="661">
          <cell r="G661">
            <v>17805</v>
          </cell>
        </row>
        <row r="662">
          <cell r="G662">
            <v>69133</v>
          </cell>
        </row>
        <row r="663">
          <cell r="G663">
            <v>20000</v>
          </cell>
        </row>
        <row r="664">
          <cell r="G664">
            <v>75000</v>
          </cell>
        </row>
        <row r="665">
          <cell r="G665">
            <v>20000</v>
          </cell>
        </row>
        <row r="666">
          <cell r="G666">
            <v>405000</v>
          </cell>
        </row>
        <row r="667">
          <cell r="G667">
            <v>135000</v>
          </cell>
        </row>
        <row r="668">
          <cell r="G668">
            <v>90000</v>
          </cell>
        </row>
        <row r="669">
          <cell r="G669">
            <v>100000</v>
          </cell>
        </row>
        <row r="670">
          <cell r="G670">
            <v>10354</v>
          </cell>
        </row>
        <row r="671">
          <cell r="G671">
            <v>50000</v>
          </cell>
        </row>
        <row r="672">
          <cell r="G672">
            <v>55000</v>
          </cell>
        </row>
        <row r="673">
          <cell r="G673">
            <v>120000</v>
          </cell>
        </row>
        <row r="674">
          <cell r="G674">
            <v>46759</v>
          </cell>
        </row>
        <row r="675">
          <cell r="G675">
            <v>90000</v>
          </cell>
        </row>
        <row r="676">
          <cell r="G676">
            <v>60000</v>
          </cell>
        </row>
        <row r="677">
          <cell r="G677">
            <v>59102</v>
          </cell>
        </row>
        <row r="678">
          <cell r="G678">
            <v>80000</v>
          </cell>
        </row>
        <row r="679">
          <cell r="G679">
            <v>10000</v>
          </cell>
        </row>
        <row r="680">
          <cell r="G680">
            <v>170000</v>
          </cell>
        </row>
        <row r="681">
          <cell r="G681">
            <v>80000</v>
          </cell>
        </row>
        <row r="682">
          <cell r="G682">
            <v>100000</v>
          </cell>
        </row>
        <row r="683">
          <cell r="G683">
            <v>150000</v>
          </cell>
        </row>
        <row r="684">
          <cell r="G684">
            <v>88654</v>
          </cell>
        </row>
        <row r="685">
          <cell r="G685">
            <v>51519</v>
          </cell>
        </row>
        <row r="686">
          <cell r="G686">
            <v>36259</v>
          </cell>
        </row>
        <row r="687">
          <cell r="G687">
            <v>93000</v>
          </cell>
        </row>
        <row r="688">
          <cell r="G688">
            <v>6072</v>
          </cell>
        </row>
        <row r="689">
          <cell r="G689">
            <v>170000</v>
          </cell>
        </row>
        <row r="690">
          <cell r="G690">
            <v>91000</v>
          </cell>
        </row>
        <row r="691">
          <cell r="G691">
            <v>80000</v>
          </cell>
        </row>
        <row r="692">
          <cell r="G692">
            <v>200000</v>
          </cell>
        </row>
        <row r="693">
          <cell r="G693">
            <v>72000</v>
          </cell>
        </row>
        <row r="694">
          <cell r="G694">
            <v>63831</v>
          </cell>
        </row>
        <row r="695">
          <cell r="G695">
            <v>71786</v>
          </cell>
        </row>
        <row r="696">
          <cell r="G696">
            <v>9272</v>
          </cell>
        </row>
        <row r="697">
          <cell r="G697">
            <v>135000</v>
          </cell>
        </row>
        <row r="698">
          <cell r="G698">
            <v>87000</v>
          </cell>
        </row>
        <row r="699">
          <cell r="G699">
            <v>85000</v>
          </cell>
        </row>
        <row r="700">
          <cell r="G700">
            <v>8000</v>
          </cell>
        </row>
        <row r="701">
          <cell r="G701">
            <v>6072</v>
          </cell>
        </row>
        <row r="702">
          <cell r="G702">
            <v>98000</v>
          </cell>
        </row>
        <row r="703">
          <cell r="G703">
            <v>120000</v>
          </cell>
        </row>
        <row r="704">
          <cell r="G704">
            <v>140000</v>
          </cell>
        </row>
        <row r="705">
          <cell r="G705">
            <v>61896</v>
          </cell>
        </row>
        <row r="706">
          <cell r="G706">
            <v>59102</v>
          </cell>
        </row>
        <row r="707">
          <cell r="G707">
            <v>19609</v>
          </cell>
        </row>
        <row r="708">
          <cell r="G708">
            <v>75000</v>
          </cell>
        </row>
        <row r="709">
          <cell r="G709">
            <v>62000</v>
          </cell>
        </row>
        <row r="710">
          <cell r="G710">
            <v>100000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1484-0B25-4F80-91AE-D20B4B478BB4}">
  <dimension ref="A1:T710"/>
  <sheetViews>
    <sheetView tabSelected="1" topLeftCell="F1" zoomScale="97" workbookViewId="0">
      <selection activeCell="S8" sqref="S8"/>
    </sheetView>
  </sheetViews>
  <sheetFormatPr defaultColWidth="8.625" defaultRowHeight="15.6"/>
  <cols>
    <col min="1" max="1" width="11.875" style="5"/>
    <col min="2" max="2" width="14.75" style="5" customWidth="1"/>
    <col min="3" max="5" width="11.875" style="5"/>
    <col min="6" max="6" width="12.75" style="5" bestFit="1" customWidth="1"/>
    <col min="7" max="7" width="14.625" style="5" customWidth="1"/>
    <col min="8" max="11" width="1.625" style="5" hidden="1" customWidth="1"/>
    <col min="12" max="12" width="26.125" style="7" customWidth="1"/>
    <col min="13" max="13" width="26.375" style="5" customWidth="1"/>
    <col min="14" max="14" width="14.125" style="5" customWidth="1"/>
    <col min="15" max="15" width="13.75" style="5" customWidth="1"/>
    <col min="16" max="16" width="15.5" style="5" customWidth="1"/>
    <col min="17" max="17" width="8.625" style="5"/>
    <col min="18" max="18" width="26.125" style="5" customWidth="1"/>
    <col min="19" max="19" width="14.75" style="5" customWidth="1"/>
    <col min="20" max="20" width="51.125" style="5" customWidth="1"/>
    <col min="21" max="16384" width="8.625" style="5"/>
  </cols>
  <sheetData>
    <row r="1" spans="1:20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1" t="s">
        <v>12</v>
      </c>
    </row>
    <row r="2" spans="1:20" customFormat="1">
      <c r="A2">
        <v>2023</v>
      </c>
      <c r="B2" t="s">
        <v>13</v>
      </c>
      <c r="C2" t="s">
        <v>14</v>
      </c>
      <c r="D2" t="s">
        <v>15</v>
      </c>
      <c r="E2">
        <v>130000</v>
      </c>
      <c r="F2" t="s">
        <v>16</v>
      </c>
      <c r="G2">
        <v>130000</v>
      </c>
      <c r="H2" t="s">
        <v>17</v>
      </c>
      <c r="I2">
        <v>100</v>
      </c>
      <c r="J2" t="s">
        <v>17</v>
      </c>
      <c r="K2" t="s">
        <v>18</v>
      </c>
      <c r="L2" s="3">
        <f>G2-$P$5</f>
        <v>23234.629055007055</v>
      </c>
      <c r="M2" s="3">
        <f>L2^2</f>
        <v>539847987.32377803</v>
      </c>
      <c r="N2" s="2"/>
    </row>
    <row r="3" spans="1:20" customFormat="1">
      <c r="A3">
        <v>2023</v>
      </c>
      <c r="B3" t="s">
        <v>13</v>
      </c>
      <c r="C3" t="s">
        <v>14</v>
      </c>
      <c r="D3" t="s">
        <v>15</v>
      </c>
      <c r="E3">
        <v>100000</v>
      </c>
      <c r="F3" t="s">
        <v>16</v>
      </c>
      <c r="G3">
        <v>100000</v>
      </c>
      <c r="H3" t="s">
        <v>17</v>
      </c>
      <c r="I3">
        <v>100</v>
      </c>
      <c r="J3" t="s">
        <v>17</v>
      </c>
      <c r="K3" t="s">
        <v>18</v>
      </c>
      <c r="L3" s="3">
        <f t="shared" ref="L3:L66" si="0">G3-$P$5</f>
        <v>-6765.3709449929447</v>
      </c>
      <c r="M3" s="3">
        <f t="shared" ref="M3:M66" si="1">L3^2</f>
        <v>45770244.023354732</v>
      </c>
    </row>
    <row r="4" spans="1:20" customFormat="1">
      <c r="A4">
        <v>2023</v>
      </c>
      <c r="B4" t="s">
        <v>19</v>
      </c>
      <c r="C4" t="s">
        <v>14</v>
      </c>
      <c r="D4" t="s">
        <v>15</v>
      </c>
      <c r="E4">
        <v>150000</v>
      </c>
      <c r="F4" t="s">
        <v>16</v>
      </c>
      <c r="G4">
        <v>150000</v>
      </c>
      <c r="H4" t="s">
        <v>17</v>
      </c>
      <c r="I4">
        <v>100</v>
      </c>
      <c r="J4" t="s">
        <v>17</v>
      </c>
      <c r="K4" t="s">
        <v>18</v>
      </c>
      <c r="L4" s="3">
        <f t="shared" si="0"/>
        <v>43234.629055007055</v>
      </c>
      <c r="M4" s="3">
        <f t="shared" si="1"/>
        <v>1869233149.5240602</v>
      </c>
      <c r="P4" s="1" t="s">
        <v>20</v>
      </c>
      <c r="S4" s="1" t="s">
        <v>21</v>
      </c>
    </row>
    <row r="5" spans="1:20" customFormat="1">
      <c r="A5">
        <v>2023</v>
      </c>
      <c r="B5" t="s">
        <v>19</v>
      </c>
      <c r="C5" t="s">
        <v>14</v>
      </c>
      <c r="D5" t="s">
        <v>15</v>
      </c>
      <c r="E5">
        <v>110000</v>
      </c>
      <c r="F5" t="s">
        <v>16</v>
      </c>
      <c r="G5">
        <v>110000</v>
      </c>
      <c r="H5" t="s">
        <v>17</v>
      </c>
      <c r="I5">
        <v>100</v>
      </c>
      <c r="J5" t="s">
        <v>17</v>
      </c>
      <c r="K5" t="s">
        <v>18</v>
      </c>
      <c r="L5" s="3">
        <f t="shared" si="0"/>
        <v>3234.6290550070553</v>
      </c>
      <c r="M5" s="3">
        <f t="shared" si="1"/>
        <v>10462825.123495836</v>
      </c>
      <c r="O5" s="1" t="s">
        <v>22</v>
      </c>
      <c r="P5">
        <f>AVERAGE(G2:G710)</f>
        <v>106765.37094499294</v>
      </c>
      <c r="R5" s="1" t="s">
        <v>22</v>
      </c>
      <c r="S5">
        <f>AVERAGE($G$2:$G$710)</f>
        <v>106765.37094499294</v>
      </c>
    </row>
    <row r="6" spans="1:20" customFormat="1">
      <c r="A6">
        <v>2023</v>
      </c>
      <c r="B6" t="s">
        <v>19</v>
      </c>
      <c r="C6" t="s">
        <v>14</v>
      </c>
      <c r="D6" t="s">
        <v>15</v>
      </c>
      <c r="E6">
        <v>105380</v>
      </c>
      <c r="F6" t="s">
        <v>16</v>
      </c>
      <c r="G6">
        <v>105380</v>
      </c>
      <c r="H6" t="s">
        <v>17</v>
      </c>
      <c r="I6">
        <v>0</v>
      </c>
      <c r="J6" t="s">
        <v>17</v>
      </c>
      <c r="K6" t="s">
        <v>18</v>
      </c>
      <c r="L6" s="3">
        <f t="shared" si="0"/>
        <v>-1385.3709449929447</v>
      </c>
      <c r="M6" s="3">
        <f t="shared" si="1"/>
        <v>1919252.6552306446</v>
      </c>
      <c r="O6" s="1" t="s">
        <v>23</v>
      </c>
      <c r="P6">
        <f>MEDIAN([1]ds_salaries!G3:G711)</f>
        <v>105000</v>
      </c>
      <c r="R6" s="1" t="s">
        <v>24</v>
      </c>
      <c r="S6" s="4">
        <f>SUM(M2:M710)/COUNT(M2:M710)</f>
        <v>2409599184.2982192</v>
      </c>
    </row>
    <row r="7" spans="1:20" customFormat="1" ht="18" customHeight="1">
      <c r="A7">
        <v>2023</v>
      </c>
      <c r="B7" t="s">
        <v>19</v>
      </c>
      <c r="C7" t="s">
        <v>14</v>
      </c>
      <c r="D7" t="s">
        <v>15</v>
      </c>
      <c r="E7">
        <v>64500</v>
      </c>
      <c r="F7" t="s">
        <v>16</v>
      </c>
      <c r="G7">
        <v>64500</v>
      </c>
      <c r="H7" t="s">
        <v>17</v>
      </c>
      <c r="I7">
        <v>0</v>
      </c>
      <c r="J7" t="s">
        <v>17</v>
      </c>
      <c r="K7" t="s">
        <v>18</v>
      </c>
      <c r="L7" s="3">
        <f t="shared" si="0"/>
        <v>-42265.370944992945</v>
      </c>
      <c r="M7" s="3">
        <f t="shared" si="1"/>
        <v>1786361581.1178539</v>
      </c>
      <c r="O7" s="1" t="s">
        <v>25</v>
      </c>
      <c r="P7">
        <f>_xlfn.MODE.SNGL([1]ds_salaries!G3:G711)</f>
        <v>100000</v>
      </c>
      <c r="R7" s="1" t="s">
        <v>26</v>
      </c>
      <c r="S7" s="4">
        <f>SQRT(S6)</f>
        <v>49087.66835263434</v>
      </c>
      <c r="T7" s="8" t="s">
        <v>27</v>
      </c>
    </row>
    <row r="8" spans="1:20" customFormat="1" ht="81">
      <c r="A8">
        <v>2023</v>
      </c>
      <c r="B8" t="s">
        <v>28</v>
      </c>
      <c r="C8" t="s">
        <v>14</v>
      </c>
      <c r="D8" t="s">
        <v>29</v>
      </c>
      <c r="E8">
        <v>100000</v>
      </c>
      <c r="F8" t="s">
        <v>16</v>
      </c>
      <c r="G8">
        <v>100000</v>
      </c>
      <c r="H8" t="s">
        <v>30</v>
      </c>
      <c r="I8">
        <v>100</v>
      </c>
      <c r="J8" t="s">
        <v>30</v>
      </c>
      <c r="K8" t="s">
        <v>31</v>
      </c>
      <c r="L8" s="3">
        <f t="shared" si="0"/>
        <v>-6765.3709449929447</v>
      </c>
      <c r="M8" s="3">
        <f t="shared" si="1"/>
        <v>45770244.023354732</v>
      </c>
      <c r="R8" s="5"/>
      <c r="S8" s="9" t="s">
        <v>32</v>
      </c>
    </row>
    <row r="9" spans="1:20" customFormat="1" ht="15.75">
      <c r="A9">
        <v>2023</v>
      </c>
      <c r="B9" t="s">
        <v>13</v>
      </c>
      <c r="C9" t="s">
        <v>14</v>
      </c>
      <c r="D9" t="s">
        <v>15</v>
      </c>
      <c r="E9">
        <v>202800</v>
      </c>
      <c r="F9" t="s">
        <v>16</v>
      </c>
      <c r="G9">
        <v>202800</v>
      </c>
      <c r="H9" t="s">
        <v>17</v>
      </c>
      <c r="I9">
        <v>0</v>
      </c>
      <c r="J9" t="s">
        <v>17</v>
      </c>
      <c r="K9" t="s">
        <v>31</v>
      </c>
      <c r="L9" s="3">
        <f t="shared" si="0"/>
        <v>96034.629055007055</v>
      </c>
      <c r="M9" s="3">
        <f t="shared" si="1"/>
        <v>9222649977.7328053</v>
      </c>
      <c r="R9" s="5"/>
      <c r="S9" s="10"/>
    </row>
    <row r="10" spans="1:20" customFormat="1">
      <c r="A10">
        <v>2023</v>
      </c>
      <c r="B10" t="s">
        <v>13</v>
      </c>
      <c r="C10" t="s">
        <v>14</v>
      </c>
      <c r="D10" t="s">
        <v>15</v>
      </c>
      <c r="E10">
        <v>104300</v>
      </c>
      <c r="F10" t="s">
        <v>16</v>
      </c>
      <c r="G10">
        <v>104300</v>
      </c>
      <c r="H10" t="s">
        <v>17</v>
      </c>
      <c r="I10">
        <v>0</v>
      </c>
      <c r="J10" t="s">
        <v>17</v>
      </c>
      <c r="K10" t="s">
        <v>31</v>
      </c>
      <c r="L10" s="3">
        <f t="shared" si="0"/>
        <v>-2465.3709449929447</v>
      </c>
      <c r="M10" s="3">
        <f t="shared" si="1"/>
        <v>6078053.896415405</v>
      </c>
      <c r="P10" s="1" t="s">
        <v>20</v>
      </c>
      <c r="S10" s="1" t="s">
        <v>21</v>
      </c>
    </row>
    <row r="11" spans="1:20" customFormat="1">
      <c r="A11">
        <v>2023</v>
      </c>
      <c r="B11" t="s">
        <v>13</v>
      </c>
      <c r="C11" t="s">
        <v>14</v>
      </c>
      <c r="D11" t="s">
        <v>15</v>
      </c>
      <c r="E11">
        <v>145000</v>
      </c>
      <c r="F11" t="s">
        <v>16</v>
      </c>
      <c r="G11">
        <v>145000</v>
      </c>
      <c r="H11" t="s">
        <v>17</v>
      </c>
      <c r="I11">
        <v>0</v>
      </c>
      <c r="J11" t="s">
        <v>17</v>
      </c>
      <c r="K11" t="s">
        <v>18</v>
      </c>
      <c r="L11" s="3">
        <f t="shared" si="0"/>
        <v>38234.629055007055</v>
      </c>
      <c r="M11" s="3">
        <f t="shared" si="1"/>
        <v>1461886858.9739897</v>
      </c>
      <c r="O11" s="1" t="s">
        <v>33</v>
      </c>
      <c r="P11">
        <f>MAX([1]ds_salaries!G3:G711)</f>
        <v>430967</v>
      </c>
      <c r="R11" s="1" t="s">
        <v>22</v>
      </c>
      <c r="S11" s="4">
        <f>AVERAGE($G$2:$G$710)</f>
        <v>106765.37094499294</v>
      </c>
    </row>
    <row r="12" spans="1:20" customFormat="1">
      <c r="A12">
        <v>2023</v>
      </c>
      <c r="B12" t="s">
        <v>13</v>
      </c>
      <c r="C12" t="s">
        <v>14</v>
      </c>
      <c r="D12" t="s">
        <v>15</v>
      </c>
      <c r="E12">
        <v>65000</v>
      </c>
      <c r="F12" t="s">
        <v>16</v>
      </c>
      <c r="G12">
        <v>65000</v>
      </c>
      <c r="H12" t="s">
        <v>17</v>
      </c>
      <c r="I12">
        <v>0</v>
      </c>
      <c r="J12" t="s">
        <v>17</v>
      </c>
      <c r="K12" t="s">
        <v>18</v>
      </c>
      <c r="L12" s="3">
        <f t="shared" si="0"/>
        <v>-41765.370944992945</v>
      </c>
      <c r="M12" s="3">
        <f t="shared" si="1"/>
        <v>1744346210.1728609</v>
      </c>
      <c r="O12" s="1" t="s">
        <v>34</v>
      </c>
      <c r="P12">
        <f>MIN([1]ds_salaries!G3:G711)</f>
        <v>5723</v>
      </c>
      <c r="R12" s="1" t="s">
        <v>35</v>
      </c>
      <c r="S12" s="4">
        <f>_xlfn.VAR.P(G2:G710)</f>
        <v>2409599184.2982249</v>
      </c>
    </row>
    <row r="13" spans="1:20" customFormat="1">
      <c r="A13">
        <v>2023</v>
      </c>
      <c r="B13" t="s">
        <v>19</v>
      </c>
      <c r="C13" t="s">
        <v>14</v>
      </c>
      <c r="D13" t="s">
        <v>36</v>
      </c>
      <c r="E13">
        <v>155000</v>
      </c>
      <c r="F13" t="s">
        <v>16</v>
      </c>
      <c r="G13">
        <v>155000</v>
      </c>
      <c r="H13" t="s">
        <v>17</v>
      </c>
      <c r="I13">
        <v>0</v>
      </c>
      <c r="J13" t="s">
        <v>17</v>
      </c>
      <c r="K13" t="s">
        <v>18</v>
      </c>
      <c r="L13" s="3">
        <f t="shared" si="0"/>
        <v>48234.629055007055</v>
      </c>
      <c r="M13" s="3">
        <f t="shared" si="1"/>
        <v>2326579440.074131</v>
      </c>
      <c r="R13" s="1" t="s">
        <v>26</v>
      </c>
      <c r="S13" s="4">
        <f>SQRT(S12)</f>
        <v>49087.668352634399</v>
      </c>
    </row>
    <row r="14" spans="1:20" customFormat="1">
      <c r="A14">
        <v>2023</v>
      </c>
      <c r="B14" t="s">
        <v>19</v>
      </c>
      <c r="C14" t="s">
        <v>14</v>
      </c>
      <c r="D14" t="s">
        <v>36</v>
      </c>
      <c r="E14">
        <v>140000</v>
      </c>
      <c r="F14" t="s">
        <v>16</v>
      </c>
      <c r="G14">
        <v>140000</v>
      </c>
      <c r="H14" t="s">
        <v>17</v>
      </c>
      <c r="I14">
        <v>0</v>
      </c>
      <c r="J14" t="s">
        <v>17</v>
      </c>
      <c r="K14" t="s">
        <v>18</v>
      </c>
      <c r="L14" s="3">
        <f t="shared" si="0"/>
        <v>33234.629055007055</v>
      </c>
      <c r="M14" s="3">
        <f t="shared" si="1"/>
        <v>1104540568.4239192</v>
      </c>
      <c r="R14" s="5"/>
      <c r="S14" s="5"/>
    </row>
    <row r="15" spans="1:20" customFormat="1">
      <c r="A15">
        <v>2023</v>
      </c>
      <c r="B15" t="s">
        <v>28</v>
      </c>
      <c r="C15" t="s">
        <v>14</v>
      </c>
      <c r="D15" t="s">
        <v>15</v>
      </c>
      <c r="E15">
        <v>75000</v>
      </c>
      <c r="F15" t="s">
        <v>16</v>
      </c>
      <c r="G15">
        <v>75000</v>
      </c>
      <c r="H15" t="s">
        <v>17</v>
      </c>
      <c r="I15">
        <v>0</v>
      </c>
      <c r="J15" t="s">
        <v>17</v>
      </c>
      <c r="K15" t="s">
        <v>18</v>
      </c>
      <c r="L15" s="3">
        <f t="shared" si="0"/>
        <v>-31765.370944992945</v>
      </c>
      <c r="M15" s="3">
        <f t="shared" si="1"/>
        <v>1009038791.2730019</v>
      </c>
      <c r="O15" s="1" t="s">
        <v>37</v>
      </c>
      <c r="P15" s="1" t="s">
        <v>38</v>
      </c>
      <c r="R15" s="5"/>
      <c r="S15" s="5"/>
    </row>
    <row r="16" spans="1:20" customFormat="1">
      <c r="A16">
        <v>2023</v>
      </c>
      <c r="B16" t="s">
        <v>28</v>
      </c>
      <c r="C16" t="s">
        <v>14</v>
      </c>
      <c r="D16" t="s">
        <v>15</v>
      </c>
      <c r="E16">
        <v>70000</v>
      </c>
      <c r="F16" t="s">
        <v>16</v>
      </c>
      <c r="G16">
        <v>70000</v>
      </c>
      <c r="H16" t="s">
        <v>17</v>
      </c>
      <c r="I16">
        <v>0</v>
      </c>
      <c r="J16" t="s">
        <v>17</v>
      </c>
      <c r="K16" t="s">
        <v>18</v>
      </c>
      <c r="L16" s="3">
        <f t="shared" si="0"/>
        <v>-36765.370944992945</v>
      </c>
      <c r="M16" s="3">
        <f t="shared" si="1"/>
        <v>1351692500.7229314</v>
      </c>
      <c r="O16">
        <v>100000</v>
      </c>
      <c r="P16" cm="1">
        <f t="array" ref="P16:P21">FREQUENCY([1]ds_salaries!$G$2:$G$710,O16:O20)</f>
        <v>340</v>
      </c>
      <c r="S16" s="1" t="s">
        <v>21</v>
      </c>
    </row>
    <row r="17" spans="1:19" customFormat="1">
      <c r="A17">
        <v>2023</v>
      </c>
      <c r="B17" t="s">
        <v>13</v>
      </c>
      <c r="C17" t="s">
        <v>14</v>
      </c>
      <c r="D17" t="s">
        <v>15</v>
      </c>
      <c r="E17">
        <v>204500</v>
      </c>
      <c r="F17" t="s">
        <v>16</v>
      </c>
      <c r="G17">
        <v>204500</v>
      </c>
      <c r="H17" t="s">
        <v>17</v>
      </c>
      <c r="I17">
        <v>0</v>
      </c>
      <c r="J17" t="s">
        <v>17</v>
      </c>
      <c r="K17" t="s">
        <v>18</v>
      </c>
      <c r="L17" s="3">
        <f t="shared" si="0"/>
        <v>97734.629055007055</v>
      </c>
      <c r="M17" s="3">
        <f t="shared" si="1"/>
        <v>9552057716.5198288</v>
      </c>
      <c r="O17">
        <v>200000</v>
      </c>
      <c r="P17">
        <v>348</v>
      </c>
      <c r="R17" s="1" t="s">
        <v>22</v>
      </c>
      <c r="S17" s="4">
        <f>AVERAGE($G$2:$G$710)</f>
        <v>106765.37094499294</v>
      </c>
    </row>
    <row r="18" spans="1:19" customFormat="1">
      <c r="A18">
        <v>2023</v>
      </c>
      <c r="B18" t="s">
        <v>13</v>
      </c>
      <c r="C18" t="s">
        <v>14</v>
      </c>
      <c r="D18" t="s">
        <v>15</v>
      </c>
      <c r="E18">
        <v>138900</v>
      </c>
      <c r="F18" t="s">
        <v>16</v>
      </c>
      <c r="G18">
        <v>138900</v>
      </c>
      <c r="H18" t="s">
        <v>17</v>
      </c>
      <c r="I18">
        <v>0</v>
      </c>
      <c r="J18" t="s">
        <v>17</v>
      </c>
      <c r="K18" t="s">
        <v>18</v>
      </c>
      <c r="L18" s="3">
        <f t="shared" si="0"/>
        <v>32134.629055007055</v>
      </c>
      <c r="M18" s="3">
        <f t="shared" si="1"/>
        <v>1032634384.5029036</v>
      </c>
      <c r="O18">
        <v>300000</v>
      </c>
      <c r="P18">
        <v>18</v>
      </c>
      <c r="R18" s="1" t="s">
        <v>39</v>
      </c>
      <c r="S18" s="4">
        <f>_xlfn.STDEV.P(G2:G710)</f>
        <v>49087.668352634399</v>
      </c>
    </row>
    <row r="19" spans="1:19" customFormat="1">
      <c r="A19">
        <v>2023</v>
      </c>
      <c r="B19" t="s">
        <v>19</v>
      </c>
      <c r="C19" t="s">
        <v>14</v>
      </c>
      <c r="D19" t="s">
        <v>40</v>
      </c>
      <c r="E19">
        <v>105000</v>
      </c>
      <c r="F19" t="s">
        <v>16</v>
      </c>
      <c r="G19">
        <v>105000</v>
      </c>
      <c r="H19" t="s">
        <v>17</v>
      </c>
      <c r="I19">
        <v>50</v>
      </c>
      <c r="J19" t="s">
        <v>17</v>
      </c>
      <c r="K19" t="s">
        <v>31</v>
      </c>
      <c r="L19" s="3">
        <f t="shared" si="0"/>
        <v>-1765.3709449929447</v>
      </c>
      <c r="M19" s="3">
        <f t="shared" si="1"/>
        <v>3116534.5734252827</v>
      </c>
      <c r="O19">
        <v>400000</v>
      </c>
      <c r="P19">
        <v>1</v>
      </c>
      <c r="R19" s="5"/>
      <c r="S19" s="5"/>
    </row>
    <row r="20" spans="1:19" customFormat="1">
      <c r="A20">
        <v>2023</v>
      </c>
      <c r="B20" t="s">
        <v>19</v>
      </c>
      <c r="C20" t="s">
        <v>14</v>
      </c>
      <c r="D20" t="s">
        <v>15</v>
      </c>
      <c r="E20">
        <v>38000</v>
      </c>
      <c r="F20" t="s">
        <v>41</v>
      </c>
      <c r="G20">
        <v>46178</v>
      </c>
      <c r="H20" t="s">
        <v>42</v>
      </c>
      <c r="I20">
        <v>0</v>
      </c>
      <c r="J20" t="s">
        <v>42</v>
      </c>
      <c r="K20" t="s">
        <v>18</v>
      </c>
      <c r="L20" s="3">
        <f t="shared" si="0"/>
        <v>-60587.370944992945</v>
      </c>
      <c r="M20" s="3">
        <f t="shared" si="1"/>
        <v>3670829518.0261755</v>
      </c>
      <c r="O20">
        <v>500000</v>
      </c>
      <c r="P20">
        <v>2</v>
      </c>
      <c r="R20" s="5"/>
      <c r="S20" s="5"/>
    </row>
    <row r="21" spans="1:19" customFormat="1">
      <c r="A21">
        <v>2023</v>
      </c>
      <c r="B21" t="s">
        <v>19</v>
      </c>
      <c r="C21" t="s">
        <v>14</v>
      </c>
      <c r="D21" t="s">
        <v>15</v>
      </c>
      <c r="E21">
        <v>35000</v>
      </c>
      <c r="F21" t="s">
        <v>41</v>
      </c>
      <c r="G21">
        <v>42533</v>
      </c>
      <c r="H21" t="s">
        <v>42</v>
      </c>
      <c r="I21">
        <v>0</v>
      </c>
      <c r="J21" t="s">
        <v>42</v>
      </c>
      <c r="K21" t="s">
        <v>18</v>
      </c>
      <c r="L21" s="3">
        <f t="shared" si="0"/>
        <v>-64232.370944992945</v>
      </c>
      <c r="M21" s="3">
        <f t="shared" si="1"/>
        <v>4125797477.2151737</v>
      </c>
      <c r="P21">
        <v>0</v>
      </c>
      <c r="R21" s="5"/>
      <c r="S21" s="5"/>
    </row>
    <row r="22" spans="1:19" customFormat="1">
      <c r="A22">
        <v>2023</v>
      </c>
      <c r="B22" t="s">
        <v>13</v>
      </c>
      <c r="C22" t="s">
        <v>14</v>
      </c>
      <c r="D22" t="s">
        <v>15</v>
      </c>
      <c r="E22">
        <v>168400</v>
      </c>
      <c r="F22" t="s">
        <v>16</v>
      </c>
      <c r="G22">
        <v>168400</v>
      </c>
      <c r="H22" t="s">
        <v>17</v>
      </c>
      <c r="I22">
        <v>0</v>
      </c>
      <c r="J22" t="s">
        <v>17</v>
      </c>
      <c r="K22" t="s">
        <v>18</v>
      </c>
      <c r="L22" s="3">
        <f t="shared" si="0"/>
        <v>61634.629055007055</v>
      </c>
      <c r="M22" s="3">
        <f t="shared" si="1"/>
        <v>3798827498.7483201</v>
      </c>
      <c r="R22" s="5"/>
      <c r="S22" s="5"/>
    </row>
    <row r="23" spans="1:19" customFormat="1">
      <c r="A23">
        <v>2023</v>
      </c>
      <c r="B23" t="s">
        <v>13</v>
      </c>
      <c r="C23" t="s">
        <v>14</v>
      </c>
      <c r="D23" t="s">
        <v>15</v>
      </c>
      <c r="E23">
        <v>105200</v>
      </c>
      <c r="F23" t="s">
        <v>16</v>
      </c>
      <c r="G23">
        <v>105200</v>
      </c>
      <c r="H23" t="s">
        <v>17</v>
      </c>
      <c r="I23">
        <v>0</v>
      </c>
      <c r="J23" t="s">
        <v>17</v>
      </c>
      <c r="K23" t="s">
        <v>18</v>
      </c>
      <c r="L23" s="3">
        <f t="shared" si="0"/>
        <v>-1565.3709449929447</v>
      </c>
      <c r="M23" s="3">
        <f t="shared" si="1"/>
        <v>2450386.1954281046</v>
      </c>
      <c r="R23" s="5"/>
      <c r="S23" s="5"/>
    </row>
    <row r="24" spans="1:19" customFormat="1">
      <c r="A24">
        <v>2023</v>
      </c>
      <c r="B24" t="s">
        <v>13</v>
      </c>
      <c r="C24" t="s">
        <v>14</v>
      </c>
      <c r="D24" t="s">
        <v>15</v>
      </c>
      <c r="E24">
        <v>45000</v>
      </c>
      <c r="F24" t="s">
        <v>41</v>
      </c>
      <c r="G24">
        <v>54685</v>
      </c>
      <c r="H24" t="s">
        <v>43</v>
      </c>
      <c r="I24">
        <v>100</v>
      </c>
      <c r="J24" t="s">
        <v>43</v>
      </c>
      <c r="K24" t="s">
        <v>18</v>
      </c>
      <c r="L24" s="3">
        <f t="shared" si="0"/>
        <v>-52080.370944992945</v>
      </c>
      <c r="M24" s="3">
        <f t="shared" si="1"/>
        <v>2712365037.7680655</v>
      </c>
      <c r="R24" s="5"/>
      <c r="S24" s="5"/>
    </row>
    <row r="25" spans="1:19" customFormat="1">
      <c r="A25">
        <v>2023</v>
      </c>
      <c r="B25" t="s">
        <v>13</v>
      </c>
      <c r="C25" t="s">
        <v>14</v>
      </c>
      <c r="D25" t="s">
        <v>15</v>
      </c>
      <c r="E25">
        <v>35000</v>
      </c>
      <c r="F25" t="s">
        <v>41</v>
      </c>
      <c r="G25">
        <v>42533</v>
      </c>
      <c r="H25" t="s">
        <v>43</v>
      </c>
      <c r="I25">
        <v>100</v>
      </c>
      <c r="J25" t="s">
        <v>43</v>
      </c>
      <c r="K25" t="s">
        <v>18</v>
      </c>
      <c r="L25" s="3">
        <f t="shared" si="0"/>
        <v>-64232.370944992945</v>
      </c>
      <c r="M25" s="3">
        <f t="shared" si="1"/>
        <v>4125797477.2151737</v>
      </c>
    </row>
    <row r="26" spans="1:19" customFormat="1">
      <c r="A26">
        <v>2020</v>
      </c>
      <c r="B26" t="s">
        <v>44</v>
      </c>
      <c r="C26" t="s">
        <v>14</v>
      </c>
      <c r="D26" t="s">
        <v>45</v>
      </c>
      <c r="E26">
        <v>15000</v>
      </c>
      <c r="F26" t="s">
        <v>16</v>
      </c>
      <c r="G26">
        <v>15000</v>
      </c>
      <c r="H26" t="s">
        <v>30</v>
      </c>
      <c r="I26">
        <v>0</v>
      </c>
      <c r="J26" t="s">
        <v>46</v>
      </c>
      <c r="K26" t="s">
        <v>18</v>
      </c>
      <c r="L26" s="3">
        <f t="shared" si="0"/>
        <v>-91765.370944992945</v>
      </c>
      <c r="M26" s="3">
        <f t="shared" si="1"/>
        <v>8420883304.6721554</v>
      </c>
    </row>
    <row r="27" spans="1:19" customFormat="1">
      <c r="A27">
        <v>2023</v>
      </c>
      <c r="B27" t="s">
        <v>28</v>
      </c>
      <c r="C27" t="s">
        <v>14</v>
      </c>
      <c r="D27" t="s">
        <v>15</v>
      </c>
      <c r="E27">
        <v>85000</v>
      </c>
      <c r="F27" t="s">
        <v>16</v>
      </c>
      <c r="G27">
        <v>85000</v>
      </c>
      <c r="H27" t="s">
        <v>17</v>
      </c>
      <c r="I27">
        <v>100</v>
      </c>
      <c r="J27" t="s">
        <v>17</v>
      </c>
      <c r="K27" t="s">
        <v>18</v>
      </c>
      <c r="L27" s="3">
        <f t="shared" si="0"/>
        <v>-21765.370944992945</v>
      </c>
      <c r="M27" s="3">
        <f t="shared" si="1"/>
        <v>473731372.37314308</v>
      </c>
    </row>
    <row r="28" spans="1:19" customFormat="1">
      <c r="A28">
        <v>2023</v>
      </c>
      <c r="B28" t="s">
        <v>28</v>
      </c>
      <c r="C28" t="s">
        <v>14</v>
      </c>
      <c r="D28" t="s">
        <v>15</v>
      </c>
      <c r="E28">
        <v>75000</v>
      </c>
      <c r="F28" t="s">
        <v>16</v>
      </c>
      <c r="G28">
        <v>75000</v>
      </c>
      <c r="H28" t="s">
        <v>17</v>
      </c>
      <c r="I28">
        <v>100</v>
      </c>
      <c r="J28" t="s">
        <v>17</v>
      </c>
      <c r="K28" t="s">
        <v>18</v>
      </c>
      <c r="L28" s="3">
        <f t="shared" si="0"/>
        <v>-31765.370944992945</v>
      </c>
      <c r="M28" s="3">
        <f t="shared" si="1"/>
        <v>1009038791.2730019</v>
      </c>
    </row>
    <row r="29" spans="1:19" customFormat="1">
      <c r="A29">
        <v>2023</v>
      </c>
      <c r="B29" t="s">
        <v>13</v>
      </c>
      <c r="C29" t="s">
        <v>14</v>
      </c>
      <c r="D29" t="s">
        <v>15</v>
      </c>
      <c r="E29">
        <v>120000</v>
      </c>
      <c r="F29" t="s">
        <v>16</v>
      </c>
      <c r="G29">
        <v>120000</v>
      </c>
      <c r="H29" t="s">
        <v>17</v>
      </c>
      <c r="I29">
        <v>100</v>
      </c>
      <c r="J29" t="s">
        <v>17</v>
      </c>
      <c r="K29" t="s">
        <v>18</v>
      </c>
      <c r="L29" s="3">
        <f t="shared" si="0"/>
        <v>13234.629055007055</v>
      </c>
      <c r="M29" s="3">
        <f t="shared" si="1"/>
        <v>175155406.22363696</v>
      </c>
    </row>
    <row r="30" spans="1:19" customFormat="1">
      <c r="A30">
        <v>2023</v>
      </c>
      <c r="B30" t="s">
        <v>13</v>
      </c>
      <c r="C30" t="s">
        <v>14</v>
      </c>
      <c r="D30" t="s">
        <v>15</v>
      </c>
      <c r="E30">
        <v>75000</v>
      </c>
      <c r="F30" t="s">
        <v>16</v>
      </c>
      <c r="G30">
        <v>75000</v>
      </c>
      <c r="H30" t="s">
        <v>17</v>
      </c>
      <c r="I30">
        <v>100</v>
      </c>
      <c r="J30" t="s">
        <v>17</v>
      </c>
      <c r="K30" t="s">
        <v>18</v>
      </c>
      <c r="L30" s="3">
        <f t="shared" si="0"/>
        <v>-31765.370944992945</v>
      </c>
      <c r="M30" s="3">
        <f t="shared" si="1"/>
        <v>1009038791.2730019</v>
      </c>
    </row>
    <row r="31" spans="1:19" customFormat="1">
      <c r="A31">
        <v>2023</v>
      </c>
      <c r="B31" t="s">
        <v>13</v>
      </c>
      <c r="C31" t="s">
        <v>14</v>
      </c>
      <c r="D31" t="s">
        <v>15</v>
      </c>
      <c r="E31">
        <v>140000</v>
      </c>
      <c r="F31" t="s">
        <v>16</v>
      </c>
      <c r="G31">
        <v>140000</v>
      </c>
      <c r="H31" t="s">
        <v>17</v>
      </c>
      <c r="I31">
        <v>0</v>
      </c>
      <c r="J31" t="s">
        <v>17</v>
      </c>
      <c r="K31" t="s">
        <v>18</v>
      </c>
      <c r="L31" s="3">
        <f t="shared" si="0"/>
        <v>33234.629055007055</v>
      </c>
      <c r="M31" s="3">
        <f t="shared" si="1"/>
        <v>1104540568.4239192</v>
      </c>
    </row>
    <row r="32" spans="1:19" customFormat="1">
      <c r="A32">
        <v>2023</v>
      </c>
      <c r="B32" t="s">
        <v>13</v>
      </c>
      <c r="C32" t="s">
        <v>14</v>
      </c>
      <c r="D32" t="s">
        <v>15</v>
      </c>
      <c r="E32">
        <v>120000</v>
      </c>
      <c r="F32" t="s">
        <v>16</v>
      </c>
      <c r="G32">
        <v>120000</v>
      </c>
      <c r="H32" t="s">
        <v>17</v>
      </c>
      <c r="I32">
        <v>0</v>
      </c>
      <c r="J32" t="s">
        <v>17</v>
      </c>
      <c r="K32" t="s">
        <v>18</v>
      </c>
      <c r="L32" s="3">
        <f t="shared" si="0"/>
        <v>13234.629055007055</v>
      </c>
      <c r="M32" s="3">
        <f t="shared" si="1"/>
        <v>175155406.22363696</v>
      </c>
    </row>
    <row r="33" spans="1:13" customFormat="1">
      <c r="A33">
        <v>2023</v>
      </c>
      <c r="B33" t="s">
        <v>13</v>
      </c>
      <c r="C33" t="s">
        <v>14</v>
      </c>
      <c r="D33" t="s">
        <v>29</v>
      </c>
      <c r="E33">
        <v>100000</v>
      </c>
      <c r="F33" t="s">
        <v>16</v>
      </c>
      <c r="G33">
        <v>100000</v>
      </c>
      <c r="H33" t="s">
        <v>17</v>
      </c>
      <c r="I33">
        <v>0</v>
      </c>
      <c r="J33" t="s">
        <v>17</v>
      </c>
      <c r="K33" t="s">
        <v>18</v>
      </c>
      <c r="L33" s="3">
        <f t="shared" si="0"/>
        <v>-6765.3709449929447</v>
      </c>
      <c r="M33" s="3">
        <f t="shared" si="1"/>
        <v>45770244.023354732</v>
      </c>
    </row>
    <row r="34" spans="1:13" customFormat="1">
      <c r="A34">
        <v>2023</v>
      </c>
      <c r="B34" t="s">
        <v>13</v>
      </c>
      <c r="C34" t="s">
        <v>14</v>
      </c>
      <c r="D34" t="s">
        <v>29</v>
      </c>
      <c r="E34">
        <v>80000</v>
      </c>
      <c r="F34" t="s">
        <v>16</v>
      </c>
      <c r="G34">
        <v>80000</v>
      </c>
      <c r="H34" t="s">
        <v>17</v>
      </c>
      <c r="I34">
        <v>0</v>
      </c>
      <c r="J34" t="s">
        <v>17</v>
      </c>
      <c r="K34" t="s">
        <v>18</v>
      </c>
      <c r="L34" s="3">
        <f t="shared" si="0"/>
        <v>-26765.370944992945</v>
      </c>
      <c r="M34" s="3">
        <f t="shared" si="1"/>
        <v>716385081.82307255</v>
      </c>
    </row>
    <row r="35" spans="1:13" customFormat="1">
      <c r="A35">
        <v>2023</v>
      </c>
      <c r="B35" t="s">
        <v>13</v>
      </c>
      <c r="C35" t="s">
        <v>14</v>
      </c>
      <c r="D35" t="s">
        <v>15</v>
      </c>
      <c r="E35">
        <v>135000</v>
      </c>
      <c r="F35" t="s">
        <v>16</v>
      </c>
      <c r="G35">
        <v>135000</v>
      </c>
      <c r="H35" t="s">
        <v>17</v>
      </c>
      <c r="I35">
        <v>0</v>
      </c>
      <c r="J35" t="s">
        <v>17</v>
      </c>
      <c r="K35" t="s">
        <v>18</v>
      </c>
      <c r="L35" s="3">
        <f t="shared" si="0"/>
        <v>28234.629055007055</v>
      </c>
      <c r="M35" s="3">
        <f t="shared" si="1"/>
        <v>797194277.87384856</v>
      </c>
    </row>
    <row r="36" spans="1:13" customFormat="1">
      <c r="A36">
        <v>2023</v>
      </c>
      <c r="B36" t="s">
        <v>13</v>
      </c>
      <c r="C36" t="s">
        <v>14</v>
      </c>
      <c r="D36" t="s">
        <v>15</v>
      </c>
      <c r="E36">
        <v>105500</v>
      </c>
      <c r="F36" t="s">
        <v>16</v>
      </c>
      <c r="G36">
        <v>105500</v>
      </c>
      <c r="H36" t="s">
        <v>17</v>
      </c>
      <c r="I36">
        <v>0</v>
      </c>
      <c r="J36" t="s">
        <v>17</v>
      </c>
      <c r="K36" t="s">
        <v>18</v>
      </c>
      <c r="L36" s="3">
        <f t="shared" si="0"/>
        <v>-1265.3709449929447</v>
      </c>
      <c r="M36" s="3">
        <f t="shared" si="1"/>
        <v>1601163.6284323379</v>
      </c>
    </row>
    <row r="37" spans="1:13" customFormat="1">
      <c r="A37">
        <v>2023</v>
      </c>
      <c r="B37" t="s">
        <v>13</v>
      </c>
      <c r="C37" t="s">
        <v>14</v>
      </c>
      <c r="D37" t="s">
        <v>15</v>
      </c>
      <c r="E37">
        <v>80000</v>
      </c>
      <c r="F37" t="s">
        <v>16</v>
      </c>
      <c r="G37">
        <v>80000</v>
      </c>
      <c r="H37" t="s">
        <v>17</v>
      </c>
      <c r="I37">
        <v>0</v>
      </c>
      <c r="J37" t="s">
        <v>17</v>
      </c>
      <c r="K37" t="s">
        <v>18</v>
      </c>
      <c r="L37" s="3">
        <f t="shared" si="0"/>
        <v>-26765.370944992945</v>
      </c>
      <c r="M37" s="3">
        <f t="shared" si="1"/>
        <v>716385081.82307255</v>
      </c>
    </row>
    <row r="38" spans="1:13" customFormat="1">
      <c r="A38">
        <v>2023</v>
      </c>
      <c r="B38" t="s">
        <v>13</v>
      </c>
      <c r="C38" t="s">
        <v>14</v>
      </c>
      <c r="D38" t="s">
        <v>15</v>
      </c>
      <c r="E38">
        <v>70000</v>
      </c>
      <c r="F38" t="s">
        <v>16</v>
      </c>
      <c r="G38">
        <v>70000</v>
      </c>
      <c r="H38" t="s">
        <v>17</v>
      </c>
      <c r="I38">
        <v>0</v>
      </c>
      <c r="J38" t="s">
        <v>17</v>
      </c>
      <c r="K38" t="s">
        <v>18</v>
      </c>
      <c r="L38" s="3">
        <f t="shared" si="0"/>
        <v>-36765.370944992945</v>
      </c>
      <c r="M38" s="3">
        <f t="shared" si="1"/>
        <v>1351692500.7229314</v>
      </c>
    </row>
    <row r="39" spans="1:13" customFormat="1">
      <c r="A39">
        <v>2023</v>
      </c>
      <c r="B39" t="s">
        <v>13</v>
      </c>
      <c r="C39" t="s">
        <v>14</v>
      </c>
      <c r="D39" t="s">
        <v>15</v>
      </c>
      <c r="E39">
        <v>200000</v>
      </c>
      <c r="F39" t="s">
        <v>16</v>
      </c>
      <c r="G39">
        <v>200000</v>
      </c>
      <c r="H39" t="s">
        <v>17</v>
      </c>
      <c r="I39">
        <v>0</v>
      </c>
      <c r="J39" t="s">
        <v>17</v>
      </c>
      <c r="K39" t="s">
        <v>18</v>
      </c>
      <c r="L39" s="3">
        <f t="shared" si="0"/>
        <v>93234.629055007055</v>
      </c>
      <c r="M39" s="3">
        <f t="shared" si="1"/>
        <v>8692696055.024765</v>
      </c>
    </row>
    <row r="40" spans="1:13" customFormat="1">
      <c r="A40">
        <v>2023</v>
      </c>
      <c r="B40" t="s">
        <v>13</v>
      </c>
      <c r="C40" t="s">
        <v>14</v>
      </c>
      <c r="D40" t="s">
        <v>15</v>
      </c>
      <c r="E40">
        <v>148500</v>
      </c>
      <c r="F40" t="s">
        <v>16</v>
      </c>
      <c r="G40">
        <v>148500</v>
      </c>
      <c r="H40" t="s">
        <v>17</v>
      </c>
      <c r="I40">
        <v>0</v>
      </c>
      <c r="J40" t="s">
        <v>17</v>
      </c>
      <c r="K40" t="s">
        <v>18</v>
      </c>
      <c r="L40" s="3">
        <f t="shared" si="0"/>
        <v>41734.629055007055</v>
      </c>
      <c r="M40" s="3">
        <f t="shared" si="1"/>
        <v>1741779262.3590391</v>
      </c>
    </row>
    <row r="41" spans="1:13" customFormat="1">
      <c r="A41">
        <v>2023</v>
      </c>
      <c r="B41" t="s">
        <v>13</v>
      </c>
      <c r="C41" t="s">
        <v>14</v>
      </c>
      <c r="D41" t="s">
        <v>15</v>
      </c>
      <c r="E41">
        <v>149500</v>
      </c>
      <c r="F41" t="s">
        <v>16</v>
      </c>
      <c r="G41">
        <v>149500</v>
      </c>
      <c r="H41" t="s">
        <v>17</v>
      </c>
      <c r="I41">
        <v>100</v>
      </c>
      <c r="J41" t="s">
        <v>17</v>
      </c>
      <c r="K41" t="s">
        <v>18</v>
      </c>
      <c r="L41" s="3">
        <f t="shared" si="0"/>
        <v>42734.629055007055</v>
      </c>
      <c r="M41" s="3">
        <f t="shared" si="1"/>
        <v>1826248520.4690533</v>
      </c>
    </row>
    <row r="42" spans="1:13" customFormat="1">
      <c r="A42">
        <v>2023</v>
      </c>
      <c r="B42" t="s">
        <v>13</v>
      </c>
      <c r="C42" t="s">
        <v>14</v>
      </c>
      <c r="D42" t="s">
        <v>15</v>
      </c>
      <c r="E42">
        <v>127075</v>
      </c>
      <c r="F42" t="s">
        <v>16</v>
      </c>
      <c r="G42">
        <v>127075</v>
      </c>
      <c r="H42" t="s">
        <v>17</v>
      </c>
      <c r="I42">
        <v>100</v>
      </c>
      <c r="J42" t="s">
        <v>17</v>
      </c>
      <c r="K42" t="s">
        <v>18</v>
      </c>
      <c r="L42" s="3">
        <f t="shared" si="0"/>
        <v>20309.629055007055</v>
      </c>
      <c r="M42" s="3">
        <f t="shared" si="1"/>
        <v>412481032.35198677</v>
      </c>
    </row>
    <row r="43" spans="1:13" customFormat="1">
      <c r="A43">
        <v>2023</v>
      </c>
      <c r="B43" t="s">
        <v>13</v>
      </c>
      <c r="C43" t="s">
        <v>14</v>
      </c>
      <c r="D43" t="s">
        <v>15</v>
      </c>
      <c r="E43">
        <v>187000</v>
      </c>
      <c r="F43" t="s">
        <v>16</v>
      </c>
      <c r="G43">
        <v>187000</v>
      </c>
      <c r="H43" t="s">
        <v>17</v>
      </c>
      <c r="I43">
        <v>0</v>
      </c>
      <c r="J43" t="s">
        <v>17</v>
      </c>
      <c r="K43" t="s">
        <v>18</v>
      </c>
      <c r="L43" s="3">
        <f t="shared" si="0"/>
        <v>80234.629055007055</v>
      </c>
      <c r="M43" s="3">
        <f t="shared" si="1"/>
        <v>6437595699.5945826</v>
      </c>
    </row>
    <row r="44" spans="1:13" customFormat="1">
      <c r="A44">
        <v>2023</v>
      </c>
      <c r="B44" t="s">
        <v>13</v>
      </c>
      <c r="C44" t="s">
        <v>14</v>
      </c>
      <c r="D44" t="s">
        <v>15</v>
      </c>
      <c r="E44">
        <v>128000</v>
      </c>
      <c r="F44" t="s">
        <v>16</v>
      </c>
      <c r="G44">
        <v>128000</v>
      </c>
      <c r="H44" t="s">
        <v>17</v>
      </c>
      <c r="I44">
        <v>0</v>
      </c>
      <c r="J44" t="s">
        <v>17</v>
      </c>
      <c r="K44" t="s">
        <v>18</v>
      </c>
      <c r="L44" s="3">
        <f t="shared" si="0"/>
        <v>21234.629055007055</v>
      </c>
      <c r="M44" s="3">
        <f t="shared" si="1"/>
        <v>450909471.10374981</v>
      </c>
    </row>
    <row r="45" spans="1:13" customFormat="1">
      <c r="A45">
        <v>2023</v>
      </c>
      <c r="B45" t="s">
        <v>13</v>
      </c>
      <c r="C45" t="s">
        <v>14</v>
      </c>
      <c r="D45" t="s">
        <v>15</v>
      </c>
      <c r="E45">
        <v>142000</v>
      </c>
      <c r="F45" t="s">
        <v>16</v>
      </c>
      <c r="G45">
        <v>142000</v>
      </c>
      <c r="H45" t="s">
        <v>17</v>
      </c>
      <c r="I45">
        <v>100</v>
      </c>
      <c r="J45" t="s">
        <v>17</v>
      </c>
      <c r="K45" t="s">
        <v>18</v>
      </c>
      <c r="L45" s="3">
        <f t="shared" si="0"/>
        <v>35234.629055007055</v>
      </c>
      <c r="M45" s="3">
        <f t="shared" si="1"/>
        <v>1241479084.6439474</v>
      </c>
    </row>
    <row r="46" spans="1:13" customFormat="1">
      <c r="A46">
        <v>2023</v>
      </c>
      <c r="B46" t="s">
        <v>13</v>
      </c>
      <c r="C46" t="s">
        <v>14</v>
      </c>
      <c r="D46" t="s">
        <v>15</v>
      </c>
      <c r="E46">
        <v>75000</v>
      </c>
      <c r="F46" t="s">
        <v>16</v>
      </c>
      <c r="G46">
        <v>75000</v>
      </c>
      <c r="H46" t="s">
        <v>17</v>
      </c>
      <c r="I46">
        <v>100</v>
      </c>
      <c r="J46" t="s">
        <v>17</v>
      </c>
      <c r="K46" t="s">
        <v>18</v>
      </c>
      <c r="L46" s="3">
        <f t="shared" si="0"/>
        <v>-31765.370944992945</v>
      </c>
      <c r="M46" s="3">
        <f t="shared" si="1"/>
        <v>1009038791.2730019</v>
      </c>
    </row>
    <row r="47" spans="1:13" customFormat="1">
      <c r="A47">
        <v>2023</v>
      </c>
      <c r="B47" t="s">
        <v>13</v>
      </c>
      <c r="C47" t="s">
        <v>14</v>
      </c>
      <c r="D47" t="s">
        <v>15</v>
      </c>
      <c r="E47">
        <v>125000</v>
      </c>
      <c r="F47" t="s">
        <v>16</v>
      </c>
      <c r="G47">
        <v>125000</v>
      </c>
      <c r="H47" t="s">
        <v>17</v>
      </c>
      <c r="I47">
        <v>100</v>
      </c>
      <c r="J47" t="s">
        <v>17</v>
      </c>
      <c r="K47" t="s">
        <v>18</v>
      </c>
      <c r="L47" s="3">
        <f t="shared" si="0"/>
        <v>18234.629055007055</v>
      </c>
      <c r="M47" s="3">
        <f t="shared" si="1"/>
        <v>332501696.77370751</v>
      </c>
    </row>
    <row r="48" spans="1:13" customFormat="1">
      <c r="A48">
        <v>2023</v>
      </c>
      <c r="B48" t="s">
        <v>13</v>
      </c>
      <c r="C48" t="s">
        <v>14</v>
      </c>
      <c r="D48" t="s">
        <v>15</v>
      </c>
      <c r="E48">
        <v>112000</v>
      </c>
      <c r="F48" t="s">
        <v>16</v>
      </c>
      <c r="G48">
        <v>112000</v>
      </c>
      <c r="H48" t="s">
        <v>17</v>
      </c>
      <c r="I48">
        <v>100</v>
      </c>
      <c r="J48" t="s">
        <v>17</v>
      </c>
      <c r="K48" t="s">
        <v>18</v>
      </c>
      <c r="L48" s="3">
        <f t="shared" si="0"/>
        <v>5234.6290550070553</v>
      </c>
      <c r="M48" s="3">
        <f t="shared" si="1"/>
        <v>27401341.343524057</v>
      </c>
    </row>
    <row r="49" spans="1:13" customFormat="1">
      <c r="A49">
        <v>2023</v>
      </c>
      <c r="B49" t="s">
        <v>13</v>
      </c>
      <c r="C49" t="s">
        <v>14</v>
      </c>
      <c r="D49" t="s">
        <v>15</v>
      </c>
      <c r="E49">
        <v>139000</v>
      </c>
      <c r="F49" t="s">
        <v>16</v>
      </c>
      <c r="G49">
        <v>139000</v>
      </c>
      <c r="H49" t="s">
        <v>17</v>
      </c>
      <c r="I49">
        <v>0</v>
      </c>
      <c r="J49" t="s">
        <v>17</v>
      </c>
      <c r="K49" t="s">
        <v>18</v>
      </c>
      <c r="L49" s="3">
        <f t="shared" si="0"/>
        <v>32234.629055007055</v>
      </c>
      <c r="M49" s="3">
        <f t="shared" si="1"/>
        <v>1039071310.313905</v>
      </c>
    </row>
    <row r="50" spans="1:13" customFormat="1">
      <c r="A50">
        <v>2023</v>
      </c>
      <c r="B50" t="s">
        <v>13</v>
      </c>
      <c r="C50" t="s">
        <v>14</v>
      </c>
      <c r="D50" t="s">
        <v>15</v>
      </c>
      <c r="E50">
        <v>106000</v>
      </c>
      <c r="F50" t="s">
        <v>16</v>
      </c>
      <c r="G50">
        <v>106000</v>
      </c>
      <c r="H50" t="s">
        <v>17</v>
      </c>
      <c r="I50">
        <v>0</v>
      </c>
      <c r="J50" t="s">
        <v>17</v>
      </c>
      <c r="K50" t="s">
        <v>18</v>
      </c>
      <c r="L50" s="3">
        <f t="shared" si="0"/>
        <v>-765.37094499294471</v>
      </c>
      <c r="M50" s="3">
        <f t="shared" si="1"/>
        <v>585792.68343939318</v>
      </c>
    </row>
    <row r="51" spans="1:13" customFormat="1">
      <c r="A51">
        <v>2023</v>
      </c>
      <c r="B51" t="s">
        <v>28</v>
      </c>
      <c r="C51" t="s">
        <v>14</v>
      </c>
      <c r="D51" t="s">
        <v>15</v>
      </c>
      <c r="E51">
        <v>55000</v>
      </c>
      <c r="F51" t="s">
        <v>47</v>
      </c>
      <c r="G51">
        <v>40663</v>
      </c>
      <c r="H51" t="s">
        <v>46</v>
      </c>
      <c r="I51">
        <v>0</v>
      </c>
      <c r="J51" t="s">
        <v>46</v>
      </c>
      <c r="K51" t="s">
        <v>31</v>
      </c>
      <c r="L51" s="3">
        <f t="shared" si="0"/>
        <v>-66102.370944992945</v>
      </c>
      <c r="M51" s="3">
        <f t="shared" si="1"/>
        <v>4369523444.5494471</v>
      </c>
    </row>
    <row r="52" spans="1:13" customFormat="1">
      <c r="A52">
        <v>2023</v>
      </c>
      <c r="B52" t="s">
        <v>13</v>
      </c>
      <c r="C52" t="s">
        <v>14</v>
      </c>
      <c r="D52" t="s">
        <v>15</v>
      </c>
      <c r="E52">
        <v>140000</v>
      </c>
      <c r="F52" t="s">
        <v>16</v>
      </c>
      <c r="G52">
        <v>140000</v>
      </c>
      <c r="H52" t="s">
        <v>17</v>
      </c>
      <c r="I52">
        <v>0</v>
      </c>
      <c r="J52" t="s">
        <v>17</v>
      </c>
      <c r="K52" t="s">
        <v>18</v>
      </c>
      <c r="L52" s="3">
        <f t="shared" si="0"/>
        <v>33234.629055007055</v>
      </c>
      <c r="M52" s="3">
        <f t="shared" si="1"/>
        <v>1104540568.4239192</v>
      </c>
    </row>
    <row r="53" spans="1:13" customFormat="1">
      <c r="A53">
        <v>2023</v>
      </c>
      <c r="B53" t="s">
        <v>13</v>
      </c>
      <c r="C53" t="s">
        <v>14</v>
      </c>
      <c r="D53" t="s">
        <v>15</v>
      </c>
      <c r="E53">
        <v>120000</v>
      </c>
      <c r="F53" t="s">
        <v>16</v>
      </c>
      <c r="G53">
        <v>120000</v>
      </c>
      <c r="H53" t="s">
        <v>17</v>
      </c>
      <c r="I53">
        <v>0</v>
      </c>
      <c r="J53" t="s">
        <v>17</v>
      </c>
      <c r="K53" t="s">
        <v>18</v>
      </c>
      <c r="L53" s="3">
        <f t="shared" si="0"/>
        <v>13234.629055007055</v>
      </c>
      <c r="M53" s="3">
        <f t="shared" si="1"/>
        <v>175155406.22363696</v>
      </c>
    </row>
    <row r="54" spans="1:13" customFormat="1">
      <c r="A54">
        <v>2023</v>
      </c>
      <c r="B54" t="s">
        <v>13</v>
      </c>
      <c r="C54" t="s">
        <v>14</v>
      </c>
      <c r="D54" t="s">
        <v>15</v>
      </c>
      <c r="E54">
        <v>175000</v>
      </c>
      <c r="F54" t="s">
        <v>16</v>
      </c>
      <c r="G54">
        <v>175000</v>
      </c>
      <c r="H54" t="s">
        <v>46</v>
      </c>
      <c r="I54">
        <v>100</v>
      </c>
      <c r="J54" t="s">
        <v>46</v>
      </c>
      <c r="K54" t="s">
        <v>18</v>
      </c>
      <c r="L54" s="3">
        <f t="shared" si="0"/>
        <v>68234.629055007055</v>
      </c>
      <c r="M54" s="3">
        <f t="shared" si="1"/>
        <v>4655964602.2744131</v>
      </c>
    </row>
    <row r="55" spans="1:13" customFormat="1">
      <c r="A55">
        <v>2023</v>
      </c>
      <c r="B55" t="s">
        <v>13</v>
      </c>
      <c r="C55" t="s">
        <v>14</v>
      </c>
      <c r="D55" t="s">
        <v>15</v>
      </c>
      <c r="E55">
        <v>135000</v>
      </c>
      <c r="F55" t="s">
        <v>16</v>
      </c>
      <c r="G55">
        <v>135000</v>
      </c>
      <c r="H55" t="s">
        <v>46</v>
      </c>
      <c r="I55">
        <v>100</v>
      </c>
      <c r="J55" t="s">
        <v>46</v>
      </c>
      <c r="K55" t="s">
        <v>18</v>
      </c>
      <c r="L55" s="3">
        <f t="shared" si="0"/>
        <v>28234.629055007055</v>
      </c>
      <c r="M55" s="3">
        <f t="shared" si="1"/>
        <v>797194277.87384856</v>
      </c>
    </row>
    <row r="56" spans="1:13" customFormat="1">
      <c r="A56">
        <v>2023</v>
      </c>
      <c r="B56" t="s">
        <v>13</v>
      </c>
      <c r="C56" t="s">
        <v>14</v>
      </c>
      <c r="D56" t="s">
        <v>29</v>
      </c>
      <c r="E56">
        <v>100000</v>
      </c>
      <c r="F56" t="s">
        <v>16</v>
      </c>
      <c r="G56">
        <v>100000</v>
      </c>
      <c r="H56" t="s">
        <v>17</v>
      </c>
      <c r="I56">
        <v>0</v>
      </c>
      <c r="J56" t="s">
        <v>17</v>
      </c>
      <c r="K56" t="s">
        <v>18</v>
      </c>
      <c r="L56" s="3">
        <f t="shared" si="0"/>
        <v>-6765.3709449929447</v>
      </c>
      <c r="M56" s="3">
        <f t="shared" si="1"/>
        <v>45770244.023354732</v>
      </c>
    </row>
    <row r="57" spans="1:13" customFormat="1">
      <c r="A57">
        <v>2023</v>
      </c>
      <c r="B57" t="s">
        <v>13</v>
      </c>
      <c r="C57" t="s">
        <v>14</v>
      </c>
      <c r="D57" t="s">
        <v>29</v>
      </c>
      <c r="E57">
        <v>80000</v>
      </c>
      <c r="F57" t="s">
        <v>16</v>
      </c>
      <c r="G57">
        <v>80000</v>
      </c>
      <c r="H57" t="s">
        <v>17</v>
      </c>
      <c r="I57">
        <v>0</v>
      </c>
      <c r="J57" t="s">
        <v>17</v>
      </c>
      <c r="K57" t="s">
        <v>18</v>
      </c>
      <c r="L57" s="3">
        <f t="shared" si="0"/>
        <v>-26765.370944992945</v>
      </c>
      <c r="M57" s="3">
        <f t="shared" si="1"/>
        <v>716385081.82307255</v>
      </c>
    </row>
    <row r="58" spans="1:13" customFormat="1">
      <c r="A58">
        <v>2023</v>
      </c>
      <c r="B58" t="s">
        <v>19</v>
      </c>
      <c r="C58" t="s">
        <v>14</v>
      </c>
      <c r="D58" t="s">
        <v>15</v>
      </c>
      <c r="E58">
        <v>90000</v>
      </c>
      <c r="F58" t="s">
        <v>16</v>
      </c>
      <c r="G58">
        <v>90000</v>
      </c>
      <c r="H58" t="s">
        <v>17</v>
      </c>
      <c r="I58">
        <v>0</v>
      </c>
      <c r="J58" t="s">
        <v>17</v>
      </c>
      <c r="K58" t="s">
        <v>18</v>
      </c>
      <c r="L58" s="3">
        <f t="shared" si="0"/>
        <v>-16765.370944992945</v>
      </c>
      <c r="M58" s="3">
        <f t="shared" si="1"/>
        <v>281077662.9232136</v>
      </c>
    </row>
    <row r="59" spans="1:13" customFormat="1">
      <c r="A59">
        <v>2023</v>
      </c>
      <c r="B59" t="s">
        <v>19</v>
      </c>
      <c r="C59" t="s">
        <v>14</v>
      </c>
      <c r="D59" t="s">
        <v>15</v>
      </c>
      <c r="E59">
        <v>75000</v>
      </c>
      <c r="F59" t="s">
        <v>16</v>
      </c>
      <c r="G59">
        <v>75000</v>
      </c>
      <c r="H59" t="s">
        <v>17</v>
      </c>
      <c r="I59">
        <v>0</v>
      </c>
      <c r="J59" t="s">
        <v>17</v>
      </c>
      <c r="K59" t="s">
        <v>18</v>
      </c>
      <c r="L59" s="3">
        <f t="shared" si="0"/>
        <v>-31765.370944992945</v>
      </c>
      <c r="M59" s="3">
        <f t="shared" si="1"/>
        <v>1009038791.2730019</v>
      </c>
    </row>
    <row r="60" spans="1:13" customFormat="1">
      <c r="A60">
        <v>2023</v>
      </c>
      <c r="B60" t="s">
        <v>13</v>
      </c>
      <c r="C60" t="s">
        <v>14</v>
      </c>
      <c r="D60" t="s">
        <v>36</v>
      </c>
      <c r="E60">
        <v>160000</v>
      </c>
      <c r="F60" t="s">
        <v>16</v>
      </c>
      <c r="G60">
        <v>160000</v>
      </c>
      <c r="H60" t="s">
        <v>17</v>
      </c>
      <c r="I60">
        <v>100</v>
      </c>
      <c r="J60" t="s">
        <v>17</v>
      </c>
      <c r="K60" t="s">
        <v>18</v>
      </c>
      <c r="L60" s="3">
        <f t="shared" si="0"/>
        <v>53234.629055007055</v>
      </c>
      <c r="M60" s="3">
        <f t="shared" si="1"/>
        <v>2833925730.6242013</v>
      </c>
    </row>
    <row r="61" spans="1:13" customFormat="1">
      <c r="A61">
        <v>2023</v>
      </c>
      <c r="B61" t="s">
        <v>13</v>
      </c>
      <c r="C61" t="s">
        <v>14</v>
      </c>
      <c r="D61" t="s">
        <v>36</v>
      </c>
      <c r="E61">
        <v>120000</v>
      </c>
      <c r="F61" t="s">
        <v>16</v>
      </c>
      <c r="G61">
        <v>120000</v>
      </c>
      <c r="H61" t="s">
        <v>17</v>
      </c>
      <c r="I61">
        <v>100</v>
      </c>
      <c r="J61" t="s">
        <v>17</v>
      </c>
      <c r="K61" t="s">
        <v>18</v>
      </c>
      <c r="L61" s="3">
        <f t="shared" si="0"/>
        <v>13234.629055007055</v>
      </c>
      <c r="M61" s="3">
        <f t="shared" si="1"/>
        <v>175155406.22363696</v>
      </c>
    </row>
    <row r="62" spans="1:13" customFormat="1">
      <c r="A62">
        <v>2023</v>
      </c>
      <c r="B62" t="s">
        <v>13</v>
      </c>
      <c r="C62" t="s">
        <v>14</v>
      </c>
      <c r="D62" t="s">
        <v>15</v>
      </c>
      <c r="E62">
        <v>155000</v>
      </c>
      <c r="F62" t="s">
        <v>16</v>
      </c>
      <c r="G62">
        <v>155000</v>
      </c>
      <c r="H62" t="s">
        <v>17</v>
      </c>
      <c r="I62">
        <v>0</v>
      </c>
      <c r="J62" t="s">
        <v>17</v>
      </c>
      <c r="K62" t="s">
        <v>18</v>
      </c>
      <c r="L62" s="3">
        <f t="shared" si="0"/>
        <v>48234.629055007055</v>
      </c>
      <c r="M62" s="3">
        <f t="shared" si="1"/>
        <v>2326579440.074131</v>
      </c>
    </row>
    <row r="63" spans="1:13" customFormat="1">
      <c r="A63">
        <v>2023</v>
      </c>
      <c r="B63" t="s">
        <v>13</v>
      </c>
      <c r="C63" t="s">
        <v>14</v>
      </c>
      <c r="D63" t="s">
        <v>15</v>
      </c>
      <c r="E63">
        <v>106000</v>
      </c>
      <c r="F63" t="s">
        <v>16</v>
      </c>
      <c r="G63">
        <v>106000</v>
      </c>
      <c r="H63" t="s">
        <v>17</v>
      </c>
      <c r="I63">
        <v>0</v>
      </c>
      <c r="J63" t="s">
        <v>17</v>
      </c>
      <c r="K63" t="s">
        <v>18</v>
      </c>
      <c r="L63" s="3">
        <f t="shared" si="0"/>
        <v>-765.37094499294471</v>
      </c>
      <c r="M63" s="3">
        <f t="shared" si="1"/>
        <v>585792.68343939318</v>
      </c>
    </row>
    <row r="64" spans="1:13" customFormat="1">
      <c r="A64">
        <v>2023</v>
      </c>
      <c r="B64" t="s">
        <v>19</v>
      </c>
      <c r="C64" t="s">
        <v>14</v>
      </c>
      <c r="D64" t="s">
        <v>48</v>
      </c>
      <c r="E64">
        <v>68000</v>
      </c>
      <c r="F64" t="s">
        <v>16</v>
      </c>
      <c r="G64">
        <v>68000</v>
      </c>
      <c r="H64" t="s">
        <v>17</v>
      </c>
      <c r="I64">
        <v>0</v>
      </c>
      <c r="J64" t="s">
        <v>17</v>
      </c>
      <c r="K64" t="s">
        <v>31</v>
      </c>
      <c r="L64" s="3">
        <f t="shared" si="0"/>
        <v>-38765.370944992945</v>
      </c>
      <c r="M64" s="3">
        <f t="shared" si="1"/>
        <v>1502753984.5029032</v>
      </c>
    </row>
    <row r="65" spans="1:13" customFormat="1">
      <c r="A65">
        <v>2023</v>
      </c>
      <c r="B65" t="s">
        <v>13</v>
      </c>
      <c r="C65" t="s">
        <v>14</v>
      </c>
      <c r="D65" t="s">
        <v>15</v>
      </c>
      <c r="E65">
        <v>105000</v>
      </c>
      <c r="F65" t="s">
        <v>16</v>
      </c>
      <c r="G65">
        <v>105000</v>
      </c>
      <c r="H65" t="s">
        <v>17</v>
      </c>
      <c r="I65">
        <v>100</v>
      </c>
      <c r="J65" t="s">
        <v>17</v>
      </c>
      <c r="K65" t="s">
        <v>18</v>
      </c>
      <c r="L65" s="3">
        <f t="shared" si="0"/>
        <v>-1765.3709449929447</v>
      </c>
      <c r="M65" s="3">
        <f t="shared" si="1"/>
        <v>3116534.5734252827</v>
      </c>
    </row>
    <row r="66" spans="1:13" customFormat="1">
      <c r="A66">
        <v>2023</v>
      </c>
      <c r="B66" t="s">
        <v>13</v>
      </c>
      <c r="C66" t="s">
        <v>14</v>
      </c>
      <c r="D66" t="s">
        <v>15</v>
      </c>
      <c r="E66">
        <v>90000</v>
      </c>
      <c r="F66" t="s">
        <v>16</v>
      </c>
      <c r="G66">
        <v>90000</v>
      </c>
      <c r="H66" t="s">
        <v>17</v>
      </c>
      <c r="I66">
        <v>100</v>
      </c>
      <c r="J66" t="s">
        <v>17</v>
      </c>
      <c r="K66" t="s">
        <v>18</v>
      </c>
      <c r="L66" s="3">
        <f t="shared" si="0"/>
        <v>-16765.370944992945</v>
      </c>
      <c r="M66" s="3">
        <f t="shared" si="1"/>
        <v>281077662.9232136</v>
      </c>
    </row>
    <row r="67" spans="1:13" customFormat="1">
      <c r="A67">
        <v>2023</v>
      </c>
      <c r="B67" t="s">
        <v>13</v>
      </c>
      <c r="C67" t="s">
        <v>14</v>
      </c>
      <c r="D67" t="s">
        <v>15</v>
      </c>
      <c r="E67">
        <v>135000</v>
      </c>
      <c r="F67" t="s">
        <v>16</v>
      </c>
      <c r="G67">
        <v>135000</v>
      </c>
      <c r="H67" t="s">
        <v>17</v>
      </c>
      <c r="I67">
        <v>0</v>
      </c>
      <c r="J67" t="s">
        <v>17</v>
      </c>
      <c r="K67" t="s">
        <v>18</v>
      </c>
      <c r="L67" s="3">
        <f t="shared" ref="L67:L130" si="2">G67-$P$5</f>
        <v>28234.629055007055</v>
      </c>
      <c r="M67" s="3">
        <f t="shared" ref="M67:M130" si="3">L67^2</f>
        <v>797194277.87384856</v>
      </c>
    </row>
    <row r="68" spans="1:13" customFormat="1">
      <c r="A68">
        <v>2023</v>
      </c>
      <c r="B68" t="s">
        <v>13</v>
      </c>
      <c r="C68" t="s">
        <v>14</v>
      </c>
      <c r="D68" t="s">
        <v>15</v>
      </c>
      <c r="E68">
        <v>105500</v>
      </c>
      <c r="F68" t="s">
        <v>16</v>
      </c>
      <c r="G68">
        <v>105500</v>
      </c>
      <c r="H68" t="s">
        <v>17</v>
      </c>
      <c r="I68">
        <v>0</v>
      </c>
      <c r="J68" t="s">
        <v>17</v>
      </c>
      <c r="K68" t="s">
        <v>18</v>
      </c>
      <c r="L68" s="3">
        <f t="shared" si="2"/>
        <v>-1265.3709449929447</v>
      </c>
      <c r="M68" s="3">
        <f t="shared" si="3"/>
        <v>1601163.6284323379</v>
      </c>
    </row>
    <row r="69" spans="1:13" customFormat="1">
      <c r="A69">
        <v>2023</v>
      </c>
      <c r="B69" t="s">
        <v>13</v>
      </c>
      <c r="C69" t="s">
        <v>14</v>
      </c>
      <c r="D69" t="s">
        <v>15</v>
      </c>
      <c r="E69">
        <v>80000</v>
      </c>
      <c r="F69" t="s">
        <v>16</v>
      </c>
      <c r="G69">
        <v>80000</v>
      </c>
      <c r="H69" t="s">
        <v>17</v>
      </c>
      <c r="I69">
        <v>0</v>
      </c>
      <c r="J69" t="s">
        <v>17</v>
      </c>
      <c r="K69" t="s">
        <v>18</v>
      </c>
      <c r="L69" s="3">
        <f t="shared" si="2"/>
        <v>-26765.370944992945</v>
      </c>
      <c r="M69" s="3">
        <f t="shared" si="3"/>
        <v>716385081.82307255</v>
      </c>
    </row>
    <row r="70" spans="1:13" customFormat="1">
      <c r="A70">
        <v>2023</v>
      </c>
      <c r="B70" t="s">
        <v>13</v>
      </c>
      <c r="C70" t="s">
        <v>14</v>
      </c>
      <c r="D70" t="s">
        <v>15</v>
      </c>
      <c r="E70">
        <v>70000</v>
      </c>
      <c r="F70" t="s">
        <v>16</v>
      </c>
      <c r="G70">
        <v>70000</v>
      </c>
      <c r="H70" t="s">
        <v>17</v>
      </c>
      <c r="I70">
        <v>0</v>
      </c>
      <c r="J70" t="s">
        <v>17</v>
      </c>
      <c r="K70" t="s">
        <v>18</v>
      </c>
      <c r="L70" s="3">
        <f t="shared" si="2"/>
        <v>-36765.370944992945</v>
      </c>
      <c r="M70" s="3">
        <f t="shared" si="3"/>
        <v>1351692500.7229314</v>
      </c>
    </row>
    <row r="71" spans="1:13" customFormat="1">
      <c r="A71">
        <v>2023</v>
      </c>
      <c r="B71" t="s">
        <v>28</v>
      </c>
      <c r="C71" t="s">
        <v>14</v>
      </c>
      <c r="D71" t="s">
        <v>15</v>
      </c>
      <c r="E71">
        <v>64200</v>
      </c>
      <c r="F71" t="s">
        <v>16</v>
      </c>
      <c r="G71">
        <v>64200</v>
      </c>
      <c r="H71" t="s">
        <v>17</v>
      </c>
      <c r="I71">
        <v>100</v>
      </c>
      <c r="J71" t="s">
        <v>17</v>
      </c>
      <c r="K71" t="s">
        <v>18</v>
      </c>
      <c r="L71" s="3">
        <f t="shared" si="2"/>
        <v>-42565.370944992945</v>
      </c>
      <c r="M71" s="3">
        <f t="shared" si="3"/>
        <v>1811810803.6848495</v>
      </c>
    </row>
    <row r="72" spans="1:13" customFormat="1">
      <c r="A72">
        <v>2023</v>
      </c>
      <c r="B72" t="s">
        <v>28</v>
      </c>
      <c r="C72" t="s">
        <v>14</v>
      </c>
      <c r="D72" t="s">
        <v>15</v>
      </c>
      <c r="E72">
        <v>56100</v>
      </c>
      <c r="F72" t="s">
        <v>16</v>
      </c>
      <c r="G72">
        <v>56100</v>
      </c>
      <c r="H72" t="s">
        <v>17</v>
      </c>
      <c r="I72">
        <v>100</v>
      </c>
      <c r="J72" t="s">
        <v>17</v>
      </c>
      <c r="K72" t="s">
        <v>18</v>
      </c>
      <c r="L72" s="3">
        <f t="shared" si="2"/>
        <v>-50665.370944992945</v>
      </c>
      <c r="M72" s="3">
        <f t="shared" si="3"/>
        <v>2566979812.9937353</v>
      </c>
    </row>
    <row r="73" spans="1:13" customFormat="1">
      <c r="A73">
        <v>2023</v>
      </c>
      <c r="B73" t="s">
        <v>13</v>
      </c>
      <c r="C73" t="s">
        <v>14</v>
      </c>
      <c r="D73" t="s">
        <v>15</v>
      </c>
      <c r="E73">
        <v>208450</v>
      </c>
      <c r="F73" t="s">
        <v>16</v>
      </c>
      <c r="G73">
        <v>208450</v>
      </c>
      <c r="H73" t="s">
        <v>17</v>
      </c>
      <c r="I73">
        <v>100</v>
      </c>
      <c r="J73" t="s">
        <v>17</v>
      </c>
      <c r="K73" t="s">
        <v>18</v>
      </c>
      <c r="L73" s="3">
        <f t="shared" si="2"/>
        <v>101684.62905500706</v>
      </c>
      <c r="M73" s="3">
        <f t="shared" si="3"/>
        <v>10339763786.054384</v>
      </c>
    </row>
    <row r="74" spans="1:13" customFormat="1">
      <c r="A74">
        <v>2023</v>
      </c>
      <c r="B74" t="s">
        <v>13</v>
      </c>
      <c r="C74" t="s">
        <v>14</v>
      </c>
      <c r="D74" t="s">
        <v>15</v>
      </c>
      <c r="E74">
        <v>170550</v>
      </c>
      <c r="F74" t="s">
        <v>16</v>
      </c>
      <c r="G74">
        <v>170550</v>
      </c>
      <c r="H74" t="s">
        <v>17</v>
      </c>
      <c r="I74">
        <v>100</v>
      </c>
      <c r="J74" t="s">
        <v>17</v>
      </c>
      <c r="K74" t="s">
        <v>18</v>
      </c>
      <c r="L74" s="3">
        <f t="shared" si="2"/>
        <v>63784.629055007055</v>
      </c>
      <c r="M74" s="3">
        <f t="shared" si="3"/>
        <v>4068478903.6848502</v>
      </c>
    </row>
    <row r="75" spans="1:13" customFormat="1">
      <c r="A75">
        <v>2023</v>
      </c>
      <c r="B75" t="s">
        <v>13</v>
      </c>
      <c r="C75" t="s">
        <v>14</v>
      </c>
      <c r="D75" t="s">
        <v>15</v>
      </c>
      <c r="E75">
        <v>153600</v>
      </c>
      <c r="F75" t="s">
        <v>16</v>
      </c>
      <c r="G75">
        <v>153600</v>
      </c>
      <c r="H75" t="s">
        <v>17</v>
      </c>
      <c r="I75">
        <v>0</v>
      </c>
      <c r="J75" t="s">
        <v>17</v>
      </c>
      <c r="K75" t="s">
        <v>18</v>
      </c>
      <c r="L75" s="3">
        <f t="shared" si="2"/>
        <v>46834.629055007055</v>
      </c>
      <c r="M75" s="3">
        <f t="shared" si="3"/>
        <v>2193482478.7201109</v>
      </c>
    </row>
    <row r="76" spans="1:13" customFormat="1">
      <c r="A76">
        <v>2023</v>
      </c>
      <c r="B76" t="s">
        <v>13</v>
      </c>
      <c r="C76" t="s">
        <v>14</v>
      </c>
      <c r="D76" t="s">
        <v>15</v>
      </c>
      <c r="E76">
        <v>100500</v>
      </c>
      <c r="F76" t="s">
        <v>16</v>
      </c>
      <c r="G76">
        <v>100500</v>
      </c>
      <c r="H76" t="s">
        <v>17</v>
      </c>
      <c r="I76">
        <v>0</v>
      </c>
      <c r="J76" t="s">
        <v>17</v>
      </c>
      <c r="K76" t="s">
        <v>18</v>
      </c>
      <c r="L76" s="3">
        <f t="shared" si="2"/>
        <v>-6265.3709449929447</v>
      </c>
      <c r="M76" s="3">
        <f t="shared" si="3"/>
        <v>39254873.078361787</v>
      </c>
    </row>
    <row r="77" spans="1:13" customFormat="1">
      <c r="A77">
        <v>2023</v>
      </c>
      <c r="B77" t="s">
        <v>19</v>
      </c>
      <c r="C77" t="s">
        <v>14</v>
      </c>
      <c r="D77" t="s">
        <v>15</v>
      </c>
      <c r="E77">
        <v>182500</v>
      </c>
      <c r="F77" t="s">
        <v>16</v>
      </c>
      <c r="G77">
        <v>182500</v>
      </c>
      <c r="H77" t="s">
        <v>17</v>
      </c>
      <c r="I77">
        <v>0</v>
      </c>
      <c r="J77" t="s">
        <v>17</v>
      </c>
      <c r="K77" t="s">
        <v>18</v>
      </c>
      <c r="L77" s="3">
        <f t="shared" si="2"/>
        <v>75734.629055007055</v>
      </c>
      <c r="M77" s="3">
        <f t="shared" si="3"/>
        <v>5735734038.0995188</v>
      </c>
    </row>
    <row r="78" spans="1:13" customFormat="1">
      <c r="A78">
        <v>2023</v>
      </c>
      <c r="B78" t="s">
        <v>19</v>
      </c>
      <c r="C78" t="s">
        <v>14</v>
      </c>
      <c r="D78" t="s">
        <v>15</v>
      </c>
      <c r="E78">
        <v>121500</v>
      </c>
      <c r="F78" t="s">
        <v>16</v>
      </c>
      <c r="G78">
        <v>121500</v>
      </c>
      <c r="H78" t="s">
        <v>17</v>
      </c>
      <c r="I78">
        <v>0</v>
      </c>
      <c r="J78" t="s">
        <v>17</v>
      </c>
      <c r="K78" t="s">
        <v>18</v>
      </c>
      <c r="L78" s="3">
        <f t="shared" si="2"/>
        <v>14734.629055007055</v>
      </c>
      <c r="M78" s="3">
        <f t="shared" si="3"/>
        <v>217109293.38865811</v>
      </c>
    </row>
    <row r="79" spans="1:13" customFormat="1">
      <c r="A79">
        <v>2023</v>
      </c>
      <c r="B79" t="s">
        <v>19</v>
      </c>
      <c r="C79" t="s">
        <v>14</v>
      </c>
      <c r="D79" t="s">
        <v>15</v>
      </c>
      <c r="E79">
        <v>60000</v>
      </c>
      <c r="F79" t="s">
        <v>41</v>
      </c>
      <c r="G79">
        <v>72914</v>
      </c>
      <c r="H79" t="s">
        <v>42</v>
      </c>
      <c r="I79">
        <v>0</v>
      </c>
      <c r="J79" t="s">
        <v>42</v>
      </c>
      <c r="K79" t="s">
        <v>18</v>
      </c>
      <c r="L79" s="3">
        <f t="shared" si="2"/>
        <v>-33851.370944992945</v>
      </c>
      <c r="M79" s="3">
        <f t="shared" si="3"/>
        <v>1145915314.8555126</v>
      </c>
    </row>
    <row r="80" spans="1:13" customFormat="1">
      <c r="A80">
        <v>2023</v>
      </c>
      <c r="B80" t="s">
        <v>19</v>
      </c>
      <c r="C80" t="s">
        <v>14</v>
      </c>
      <c r="D80" t="s">
        <v>15</v>
      </c>
      <c r="E80">
        <v>45000</v>
      </c>
      <c r="F80" t="s">
        <v>41</v>
      </c>
      <c r="G80">
        <v>54685</v>
      </c>
      <c r="H80" t="s">
        <v>42</v>
      </c>
      <c r="I80">
        <v>0</v>
      </c>
      <c r="J80" t="s">
        <v>42</v>
      </c>
      <c r="K80" t="s">
        <v>18</v>
      </c>
      <c r="L80" s="3">
        <f t="shared" si="2"/>
        <v>-52080.370944992945</v>
      </c>
      <c r="M80" s="3">
        <f t="shared" si="3"/>
        <v>2712365037.7680655</v>
      </c>
    </row>
    <row r="81" spans="1:13" customFormat="1">
      <c r="A81">
        <v>2023</v>
      </c>
      <c r="B81" t="s">
        <v>13</v>
      </c>
      <c r="C81" t="s">
        <v>14</v>
      </c>
      <c r="D81" t="s">
        <v>15</v>
      </c>
      <c r="E81">
        <v>100000</v>
      </c>
      <c r="F81" t="s">
        <v>16</v>
      </c>
      <c r="G81">
        <v>100000</v>
      </c>
      <c r="H81" t="s">
        <v>17</v>
      </c>
      <c r="I81">
        <v>100</v>
      </c>
      <c r="J81" t="s">
        <v>17</v>
      </c>
      <c r="K81" t="s">
        <v>18</v>
      </c>
      <c r="L81" s="3">
        <f t="shared" si="2"/>
        <v>-6765.3709449929447</v>
      </c>
      <c r="M81" s="3">
        <f t="shared" si="3"/>
        <v>45770244.023354732</v>
      </c>
    </row>
    <row r="82" spans="1:13" customFormat="1">
      <c r="A82">
        <v>2023</v>
      </c>
      <c r="B82" t="s">
        <v>13</v>
      </c>
      <c r="C82" t="s">
        <v>14</v>
      </c>
      <c r="D82" t="s">
        <v>15</v>
      </c>
      <c r="E82">
        <v>80000</v>
      </c>
      <c r="F82" t="s">
        <v>16</v>
      </c>
      <c r="G82">
        <v>80000</v>
      </c>
      <c r="H82" t="s">
        <v>17</v>
      </c>
      <c r="I82">
        <v>100</v>
      </c>
      <c r="J82" t="s">
        <v>17</v>
      </c>
      <c r="K82" t="s">
        <v>18</v>
      </c>
      <c r="L82" s="3">
        <f t="shared" si="2"/>
        <v>-26765.370944992945</v>
      </c>
      <c r="M82" s="3">
        <f t="shared" si="3"/>
        <v>716385081.82307255</v>
      </c>
    </row>
    <row r="83" spans="1:13" customFormat="1">
      <c r="A83">
        <v>2023</v>
      </c>
      <c r="B83" t="s">
        <v>28</v>
      </c>
      <c r="C83" t="s">
        <v>14</v>
      </c>
      <c r="D83" t="s">
        <v>40</v>
      </c>
      <c r="E83">
        <v>20000</v>
      </c>
      <c r="F83" t="s">
        <v>49</v>
      </c>
      <c r="G83">
        <v>21461</v>
      </c>
      <c r="H83" t="s">
        <v>50</v>
      </c>
      <c r="I83">
        <v>0</v>
      </c>
      <c r="J83" t="s">
        <v>50</v>
      </c>
      <c r="K83" t="s">
        <v>18</v>
      </c>
      <c r="L83" s="3">
        <f t="shared" si="2"/>
        <v>-85304.370944992945</v>
      </c>
      <c r="M83" s="3">
        <f t="shared" si="3"/>
        <v>7276835702.3209562</v>
      </c>
    </row>
    <row r="84" spans="1:13" customFormat="1">
      <c r="A84">
        <v>2023</v>
      </c>
      <c r="B84" t="s">
        <v>13</v>
      </c>
      <c r="C84" t="s">
        <v>14</v>
      </c>
      <c r="D84" t="s">
        <v>15</v>
      </c>
      <c r="E84">
        <v>175000</v>
      </c>
      <c r="F84" t="s">
        <v>16</v>
      </c>
      <c r="G84">
        <v>175000</v>
      </c>
      <c r="H84" t="s">
        <v>17</v>
      </c>
      <c r="I84">
        <v>0</v>
      </c>
      <c r="J84" t="s">
        <v>17</v>
      </c>
      <c r="K84" t="s">
        <v>18</v>
      </c>
      <c r="L84" s="3">
        <f t="shared" si="2"/>
        <v>68234.629055007055</v>
      </c>
      <c r="M84" s="3">
        <f t="shared" si="3"/>
        <v>4655964602.2744131</v>
      </c>
    </row>
    <row r="85" spans="1:13" customFormat="1">
      <c r="A85">
        <v>2023</v>
      </c>
      <c r="B85" t="s">
        <v>13</v>
      </c>
      <c r="C85" t="s">
        <v>14</v>
      </c>
      <c r="D85" t="s">
        <v>15</v>
      </c>
      <c r="E85">
        <v>145000</v>
      </c>
      <c r="F85" t="s">
        <v>16</v>
      </c>
      <c r="G85">
        <v>145000</v>
      </c>
      <c r="H85" t="s">
        <v>17</v>
      </c>
      <c r="I85">
        <v>0</v>
      </c>
      <c r="J85" t="s">
        <v>17</v>
      </c>
      <c r="K85" t="s">
        <v>18</v>
      </c>
      <c r="L85" s="3">
        <f t="shared" si="2"/>
        <v>38234.629055007055</v>
      </c>
      <c r="M85" s="3">
        <f t="shared" si="3"/>
        <v>1461886858.9739897</v>
      </c>
    </row>
    <row r="86" spans="1:13" customFormat="1">
      <c r="A86">
        <v>2023</v>
      </c>
      <c r="B86" t="s">
        <v>13</v>
      </c>
      <c r="C86" t="s">
        <v>14</v>
      </c>
      <c r="D86" t="s">
        <v>15</v>
      </c>
      <c r="E86">
        <v>148700</v>
      </c>
      <c r="F86" t="s">
        <v>16</v>
      </c>
      <c r="G86">
        <v>148700</v>
      </c>
      <c r="H86" t="s">
        <v>17</v>
      </c>
      <c r="I86">
        <v>0</v>
      </c>
      <c r="J86" t="s">
        <v>17</v>
      </c>
      <c r="K86" t="s">
        <v>18</v>
      </c>
      <c r="L86" s="3">
        <f t="shared" si="2"/>
        <v>41934.629055007055</v>
      </c>
      <c r="M86" s="3">
        <f t="shared" si="3"/>
        <v>1758513113.9810419</v>
      </c>
    </row>
    <row r="87" spans="1:13" customFormat="1">
      <c r="A87">
        <v>2023</v>
      </c>
      <c r="B87" t="s">
        <v>13</v>
      </c>
      <c r="C87" t="s">
        <v>14</v>
      </c>
      <c r="D87" t="s">
        <v>15</v>
      </c>
      <c r="E87">
        <v>125600</v>
      </c>
      <c r="F87" t="s">
        <v>16</v>
      </c>
      <c r="G87">
        <v>125600</v>
      </c>
      <c r="H87" t="s">
        <v>17</v>
      </c>
      <c r="I87">
        <v>0</v>
      </c>
      <c r="J87" t="s">
        <v>17</v>
      </c>
      <c r="K87" t="s">
        <v>18</v>
      </c>
      <c r="L87" s="3">
        <f t="shared" si="2"/>
        <v>18834.629055007055</v>
      </c>
      <c r="M87" s="3">
        <f t="shared" si="3"/>
        <v>354743251.63971597</v>
      </c>
    </row>
    <row r="88" spans="1:13" customFormat="1">
      <c r="A88">
        <v>2023</v>
      </c>
      <c r="B88" t="s">
        <v>13</v>
      </c>
      <c r="C88" t="s">
        <v>14</v>
      </c>
      <c r="D88" t="s">
        <v>15</v>
      </c>
      <c r="E88">
        <v>185000</v>
      </c>
      <c r="F88" t="s">
        <v>16</v>
      </c>
      <c r="G88">
        <v>185000</v>
      </c>
      <c r="H88" t="s">
        <v>17</v>
      </c>
      <c r="I88">
        <v>100</v>
      </c>
      <c r="J88" t="s">
        <v>17</v>
      </c>
      <c r="K88" t="s">
        <v>18</v>
      </c>
      <c r="L88" s="3">
        <f t="shared" si="2"/>
        <v>78234.629055007055</v>
      </c>
      <c r="M88" s="3">
        <f t="shared" si="3"/>
        <v>6120657183.3745537</v>
      </c>
    </row>
    <row r="89" spans="1:13" customFormat="1">
      <c r="A89">
        <v>2023</v>
      </c>
      <c r="B89" t="s">
        <v>13</v>
      </c>
      <c r="C89" t="s">
        <v>14</v>
      </c>
      <c r="D89" t="s">
        <v>15</v>
      </c>
      <c r="E89">
        <v>120250</v>
      </c>
      <c r="F89" t="s">
        <v>16</v>
      </c>
      <c r="G89">
        <v>120250</v>
      </c>
      <c r="H89" t="s">
        <v>17</v>
      </c>
      <c r="I89">
        <v>100</v>
      </c>
      <c r="J89" t="s">
        <v>17</v>
      </c>
      <c r="K89" t="s">
        <v>18</v>
      </c>
      <c r="L89" s="3">
        <f t="shared" si="2"/>
        <v>13484.629055007055</v>
      </c>
      <c r="M89" s="3">
        <f t="shared" si="3"/>
        <v>181835220.75114048</v>
      </c>
    </row>
    <row r="90" spans="1:13" customFormat="1">
      <c r="A90">
        <v>2023</v>
      </c>
      <c r="B90" t="s">
        <v>13</v>
      </c>
      <c r="C90" t="s">
        <v>14</v>
      </c>
      <c r="D90" t="s">
        <v>15</v>
      </c>
      <c r="E90">
        <v>208049</v>
      </c>
      <c r="F90" t="s">
        <v>16</v>
      </c>
      <c r="G90">
        <v>208049</v>
      </c>
      <c r="H90" t="s">
        <v>17</v>
      </c>
      <c r="I90">
        <v>0</v>
      </c>
      <c r="J90" t="s">
        <v>17</v>
      </c>
      <c r="K90" t="s">
        <v>18</v>
      </c>
      <c r="L90" s="3">
        <f t="shared" si="2"/>
        <v>101283.62905500706</v>
      </c>
      <c r="M90" s="3">
        <f t="shared" si="3"/>
        <v>10258373514.552269</v>
      </c>
    </row>
    <row r="91" spans="1:13" customFormat="1">
      <c r="A91">
        <v>2023</v>
      </c>
      <c r="B91" t="s">
        <v>13</v>
      </c>
      <c r="C91" t="s">
        <v>14</v>
      </c>
      <c r="D91" t="s">
        <v>15</v>
      </c>
      <c r="E91">
        <v>128500</v>
      </c>
      <c r="F91" t="s">
        <v>16</v>
      </c>
      <c r="G91">
        <v>128500</v>
      </c>
      <c r="H91" t="s">
        <v>17</v>
      </c>
      <c r="I91">
        <v>0</v>
      </c>
      <c r="J91" t="s">
        <v>17</v>
      </c>
      <c r="K91" t="s">
        <v>18</v>
      </c>
      <c r="L91" s="3">
        <f t="shared" si="2"/>
        <v>21734.629055007055</v>
      </c>
      <c r="M91" s="3">
        <f t="shared" si="3"/>
        <v>472394100.15875685</v>
      </c>
    </row>
    <row r="92" spans="1:13" customFormat="1">
      <c r="A92">
        <v>2023</v>
      </c>
      <c r="B92" t="s">
        <v>13</v>
      </c>
      <c r="C92" t="s">
        <v>14</v>
      </c>
      <c r="D92" t="s">
        <v>15</v>
      </c>
      <c r="E92">
        <v>190000</v>
      </c>
      <c r="F92" t="s">
        <v>16</v>
      </c>
      <c r="G92">
        <v>190000</v>
      </c>
      <c r="H92" t="s">
        <v>17</v>
      </c>
      <c r="I92">
        <v>100</v>
      </c>
      <c r="J92" t="s">
        <v>17</v>
      </c>
      <c r="K92" t="s">
        <v>18</v>
      </c>
      <c r="L92" s="3">
        <f t="shared" si="2"/>
        <v>83234.629055007055</v>
      </c>
      <c r="M92" s="3">
        <f t="shared" si="3"/>
        <v>6928003473.9246244</v>
      </c>
    </row>
    <row r="93" spans="1:13" customFormat="1">
      <c r="A93">
        <v>2023</v>
      </c>
      <c r="B93" t="s">
        <v>13</v>
      </c>
      <c r="C93" t="s">
        <v>14</v>
      </c>
      <c r="D93" t="s">
        <v>15</v>
      </c>
      <c r="E93">
        <v>95000</v>
      </c>
      <c r="F93" t="s">
        <v>16</v>
      </c>
      <c r="G93">
        <v>95000</v>
      </c>
      <c r="H93" t="s">
        <v>17</v>
      </c>
      <c r="I93">
        <v>100</v>
      </c>
      <c r="J93" t="s">
        <v>17</v>
      </c>
      <c r="K93" t="s">
        <v>18</v>
      </c>
      <c r="L93" s="3">
        <f t="shared" si="2"/>
        <v>-11765.370944992945</v>
      </c>
      <c r="M93" s="3">
        <f t="shared" si="3"/>
        <v>138423953.47328418</v>
      </c>
    </row>
    <row r="94" spans="1:13" customFormat="1">
      <c r="A94">
        <v>2023</v>
      </c>
      <c r="B94" t="s">
        <v>13</v>
      </c>
      <c r="C94" t="s">
        <v>14</v>
      </c>
      <c r="D94" t="s">
        <v>15</v>
      </c>
      <c r="E94">
        <v>153600</v>
      </c>
      <c r="F94" t="s">
        <v>16</v>
      </c>
      <c r="G94">
        <v>153600</v>
      </c>
      <c r="H94" t="s">
        <v>17</v>
      </c>
      <c r="I94">
        <v>0</v>
      </c>
      <c r="J94" t="s">
        <v>17</v>
      </c>
      <c r="K94" t="s">
        <v>18</v>
      </c>
      <c r="L94" s="3">
        <f t="shared" si="2"/>
        <v>46834.629055007055</v>
      </c>
      <c r="M94" s="3">
        <f t="shared" si="3"/>
        <v>2193482478.7201109</v>
      </c>
    </row>
    <row r="95" spans="1:13" customFormat="1">
      <c r="A95">
        <v>2023</v>
      </c>
      <c r="B95" t="s">
        <v>13</v>
      </c>
      <c r="C95" t="s">
        <v>14</v>
      </c>
      <c r="D95" t="s">
        <v>15</v>
      </c>
      <c r="E95">
        <v>106800</v>
      </c>
      <c r="F95" t="s">
        <v>16</v>
      </c>
      <c r="G95">
        <v>106800</v>
      </c>
      <c r="H95" t="s">
        <v>17</v>
      </c>
      <c r="I95">
        <v>0</v>
      </c>
      <c r="J95" t="s">
        <v>17</v>
      </c>
      <c r="K95" t="s">
        <v>18</v>
      </c>
      <c r="L95" s="3">
        <f t="shared" si="2"/>
        <v>34.629055007055285</v>
      </c>
      <c r="M95" s="3">
        <f t="shared" si="3"/>
        <v>1199.1714506816606</v>
      </c>
    </row>
    <row r="96" spans="1:13" customFormat="1">
      <c r="A96">
        <v>2023</v>
      </c>
      <c r="B96" t="s">
        <v>19</v>
      </c>
      <c r="C96" t="s">
        <v>14</v>
      </c>
      <c r="D96" t="s">
        <v>15</v>
      </c>
      <c r="E96">
        <v>128000</v>
      </c>
      <c r="F96" t="s">
        <v>16</v>
      </c>
      <c r="G96">
        <v>128000</v>
      </c>
      <c r="H96" t="s">
        <v>17</v>
      </c>
      <c r="I96">
        <v>0</v>
      </c>
      <c r="J96" t="s">
        <v>17</v>
      </c>
      <c r="K96" t="s">
        <v>18</v>
      </c>
      <c r="L96" s="3">
        <f t="shared" si="2"/>
        <v>21234.629055007055</v>
      </c>
      <c r="M96" s="3">
        <f t="shared" si="3"/>
        <v>450909471.10374981</v>
      </c>
    </row>
    <row r="97" spans="1:13" customFormat="1">
      <c r="A97">
        <v>2023</v>
      </c>
      <c r="B97" t="s">
        <v>19</v>
      </c>
      <c r="C97" t="s">
        <v>14</v>
      </c>
      <c r="D97" t="s">
        <v>15</v>
      </c>
      <c r="E97">
        <v>85000</v>
      </c>
      <c r="F97" t="s">
        <v>16</v>
      </c>
      <c r="G97">
        <v>85000</v>
      </c>
      <c r="H97" t="s">
        <v>17</v>
      </c>
      <c r="I97">
        <v>0</v>
      </c>
      <c r="J97" t="s">
        <v>17</v>
      </c>
      <c r="K97" t="s">
        <v>18</v>
      </c>
      <c r="L97" s="3">
        <f t="shared" si="2"/>
        <v>-21765.370944992945</v>
      </c>
      <c r="M97" s="3">
        <f t="shared" si="3"/>
        <v>473731372.37314308</v>
      </c>
    </row>
    <row r="98" spans="1:13" customFormat="1">
      <c r="A98">
        <v>2023</v>
      </c>
      <c r="B98" t="s">
        <v>13</v>
      </c>
      <c r="C98" t="s">
        <v>14</v>
      </c>
      <c r="D98" t="s">
        <v>15</v>
      </c>
      <c r="E98">
        <v>135000</v>
      </c>
      <c r="F98" t="s">
        <v>16</v>
      </c>
      <c r="G98">
        <v>135000</v>
      </c>
      <c r="H98" t="s">
        <v>17</v>
      </c>
      <c r="I98">
        <v>0</v>
      </c>
      <c r="J98" t="s">
        <v>17</v>
      </c>
      <c r="K98" t="s">
        <v>18</v>
      </c>
      <c r="L98" s="3">
        <f t="shared" si="2"/>
        <v>28234.629055007055</v>
      </c>
      <c r="M98" s="3">
        <f t="shared" si="3"/>
        <v>797194277.87384856</v>
      </c>
    </row>
    <row r="99" spans="1:13" customFormat="1">
      <c r="A99">
        <v>2023</v>
      </c>
      <c r="B99" t="s">
        <v>13</v>
      </c>
      <c r="C99" t="s">
        <v>14</v>
      </c>
      <c r="D99" t="s">
        <v>15</v>
      </c>
      <c r="E99">
        <v>105500</v>
      </c>
      <c r="F99" t="s">
        <v>16</v>
      </c>
      <c r="G99">
        <v>105500</v>
      </c>
      <c r="H99" t="s">
        <v>17</v>
      </c>
      <c r="I99">
        <v>0</v>
      </c>
      <c r="J99" t="s">
        <v>17</v>
      </c>
      <c r="K99" t="s">
        <v>18</v>
      </c>
      <c r="L99" s="3">
        <f t="shared" si="2"/>
        <v>-1265.3709449929447</v>
      </c>
      <c r="M99" s="3">
        <f t="shared" si="3"/>
        <v>1601163.6284323379</v>
      </c>
    </row>
    <row r="100" spans="1:13" customFormat="1">
      <c r="A100">
        <v>2023</v>
      </c>
      <c r="B100" t="s">
        <v>13</v>
      </c>
      <c r="C100" t="s">
        <v>14</v>
      </c>
      <c r="D100" t="s">
        <v>15</v>
      </c>
      <c r="E100">
        <v>100000</v>
      </c>
      <c r="F100" t="s">
        <v>16</v>
      </c>
      <c r="G100">
        <v>100000</v>
      </c>
      <c r="H100" t="s">
        <v>17</v>
      </c>
      <c r="I100">
        <v>100</v>
      </c>
      <c r="J100" t="s">
        <v>17</v>
      </c>
      <c r="K100" t="s">
        <v>18</v>
      </c>
      <c r="L100" s="3">
        <f t="shared" si="2"/>
        <v>-6765.3709449929447</v>
      </c>
      <c r="M100" s="3">
        <f t="shared" si="3"/>
        <v>45770244.023354732</v>
      </c>
    </row>
    <row r="101" spans="1:13" customFormat="1">
      <c r="A101">
        <v>2023</v>
      </c>
      <c r="B101" t="s">
        <v>13</v>
      </c>
      <c r="C101" t="s">
        <v>14</v>
      </c>
      <c r="D101" t="s">
        <v>15</v>
      </c>
      <c r="E101">
        <v>80000</v>
      </c>
      <c r="F101" t="s">
        <v>16</v>
      </c>
      <c r="G101">
        <v>80000</v>
      </c>
      <c r="H101" t="s">
        <v>17</v>
      </c>
      <c r="I101">
        <v>100</v>
      </c>
      <c r="J101" t="s">
        <v>17</v>
      </c>
      <c r="K101" t="s">
        <v>18</v>
      </c>
      <c r="L101" s="3">
        <f t="shared" si="2"/>
        <v>-26765.370944992945</v>
      </c>
      <c r="M101" s="3">
        <f t="shared" si="3"/>
        <v>716385081.82307255</v>
      </c>
    </row>
    <row r="102" spans="1:13" customFormat="1">
      <c r="A102">
        <v>2023</v>
      </c>
      <c r="B102" t="s">
        <v>19</v>
      </c>
      <c r="C102" t="s">
        <v>14</v>
      </c>
      <c r="D102" t="s">
        <v>15</v>
      </c>
      <c r="E102">
        <v>154000</v>
      </c>
      <c r="F102" t="s">
        <v>16</v>
      </c>
      <c r="G102">
        <v>154000</v>
      </c>
      <c r="H102" t="s">
        <v>17</v>
      </c>
      <c r="I102">
        <v>0</v>
      </c>
      <c r="J102" t="s">
        <v>17</v>
      </c>
      <c r="K102" t="s">
        <v>18</v>
      </c>
      <c r="L102" s="3">
        <f t="shared" si="2"/>
        <v>47234.629055007055</v>
      </c>
      <c r="M102" s="3">
        <f t="shared" si="3"/>
        <v>2231110181.9641166</v>
      </c>
    </row>
    <row r="103" spans="1:13" customFormat="1">
      <c r="A103">
        <v>2023</v>
      </c>
      <c r="B103" t="s">
        <v>19</v>
      </c>
      <c r="C103" t="s">
        <v>14</v>
      </c>
      <c r="D103" t="s">
        <v>15</v>
      </c>
      <c r="E103">
        <v>143000</v>
      </c>
      <c r="F103" t="s">
        <v>16</v>
      </c>
      <c r="G103">
        <v>143000</v>
      </c>
      <c r="H103" t="s">
        <v>17</v>
      </c>
      <c r="I103">
        <v>0</v>
      </c>
      <c r="J103" t="s">
        <v>17</v>
      </c>
      <c r="K103" t="s">
        <v>18</v>
      </c>
      <c r="L103" s="3">
        <f t="shared" si="2"/>
        <v>36234.629055007055</v>
      </c>
      <c r="M103" s="3">
        <f t="shared" si="3"/>
        <v>1312948342.7539616</v>
      </c>
    </row>
    <row r="104" spans="1:13" customFormat="1">
      <c r="A104">
        <v>2023</v>
      </c>
      <c r="B104" t="s">
        <v>28</v>
      </c>
      <c r="C104" t="s">
        <v>14</v>
      </c>
      <c r="D104" t="s">
        <v>15</v>
      </c>
      <c r="E104">
        <v>85000</v>
      </c>
      <c r="F104" t="s">
        <v>16</v>
      </c>
      <c r="G104">
        <v>85000</v>
      </c>
      <c r="H104" t="s">
        <v>17</v>
      </c>
      <c r="I104">
        <v>100</v>
      </c>
      <c r="J104" t="s">
        <v>17</v>
      </c>
      <c r="K104" t="s">
        <v>18</v>
      </c>
      <c r="L104" s="3">
        <f t="shared" si="2"/>
        <v>-21765.370944992945</v>
      </c>
      <c r="M104" s="3">
        <f t="shared" si="3"/>
        <v>473731372.37314308</v>
      </c>
    </row>
    <row r="105" spans="1:13" customFormat="1">
      <c r="A105">
        <v>2023</v>
      </c>
      <c r="B105" t="s">
        <v>28</v>
      </c>
      <c r="C105" t="s">
        <v>14</v>
      </c>
      <c r="D105" t="s">
        <v>15</v>
      </c>
      <c r="E105">
        <v>75000</v>
      </c>
      <c r="F105" t="s">
        <v>16</v>
      </c>
      <c r="G105">
        <v>75000</v>
      </c>
      <c r="H105" t="s">
        <v>17</v>
      </c>
      <c r="I105">
        <v>100</v>
      </c>
      <c r="J105" t="s">
        <v>17</v>
      </c>
      <c r="K105" t="s">
        <v>18</v>
      </c>
      <c r="L105" s="3">
        <f t="shared" si="2"/>
        <v>-31765.370944992945</v>
      </c>
      <c r="M105" s="3">
        <f t="shared" si="3"/>
        <v>1009038791.2730019</v>
      </c>
    </row>
    <row r="106" spans="1:13" customFormat="1">
      <c r="A106">
        <v>2023</v>
      </c>
      <c r="B106" t="s">
        <v>19</v>
      </c>
      <c r="C106" t="s">
        <v>14</v>
      </c>
      <c r="D106" t="s">
        <v>15</v>
      </c>
      <c r="E106">
        <v>83500</v>
      </c>
      <c r="F106" t="s">
        <v>16</v>
      </c>
      <c r="G106">
        <v>83500</v>
      </c>
      <c r="H106" t="s">
        <v>17</v>
      </c>
      <c r="I106">
        <v>100</v>
      </c>
      <c r="J106" t="s">
        <v>17</v>
      </c>
      <c r="K106" t="s">
        <v>18</v>
      </c>
      <c r="L106" s="3">
        <f t="shared" si="2"/>
        <v>-23265.370944992945</v>
      </c>
      <c r="M106" s="3">
        <f t="shared" si="3"/>
        <v>541277485.2081219</v>
      </c>
    </row>
    <row r="107" spans="1:13" customFormat="1">
      <c r="A107">
        <v>2023</v>
      </c>
      <c r="B107" t="s">
        <v>19</v>
      </c>
      <c r="C107" t="s">
        <v>14</v>
      </c>
      <c r="D107" t="s">
        <v>15</v>
      </c>
      <c r="E107">
        <v>52500</v>
      </c>
      <c r="F107" t="s">
        <v>16</v>
      </c>
      <c r="G107">
        <v>52500</v>
      </c>
      <c r="H107" t="s">
        <v>17</v>
      </c>
      <c r="I107">
        <v>100</v>
      </c>
      <c r="J107" t="s">
        <v>17</v>
      </c>
      <c r="K107" t="s">
        <v>18</v>
      </c>
      <c r="L107" s="3">
        <f t="shared" si="2"/>
        <v>-54265.370944992945</v>
      </c>
      <c r="M107" s="3">
        <f t="shared" si="3"/>
        <v>2944730483.7976847</v>
      </c>
    </row>
    <row r="108" spans="1:13" customFormat="1">
      <c r="A108">
        <v>2023</v>
      </c>
      <c r="B108" t="s">
        <v>13</v>
      </c>
      <c r="C108" t="s">
        <v>14</v>
      </c>
      <c r="D108" t="s">
        <v>15</v>
      </c>
      <c r="E108">
        <v>165000</v>
      </c>
      <c r="F108" t="s">
        <v>16</v>
      </c>
      <c r="G108">
        <v>165000</v>
      </c>
      <c r="H108" t="s">
        <v>17</v>
      </c>
      <c r="I108">
        <v>100</v>
      </c>
      <c r="J108" t="s">
        <v>17</v>
      </c>
      <c r="K108" t="s">
        <v>18</v>
      </c>
      <c r="L108" s="3">
        <f t="shared" si="2"/>
        <v>58234.629055007055</v>
      </c>
      <c r="M108" s="3">
        <f t="shared" si="3"/>
        <v>3391272021.1742721</v>
      </c>
    </row>
    <row r="109" spans="1:13" customFormat="1">
      <c r="A109">
        <v>2023</v>
      </c>
      <c r="B109" t="s">
        <v>13</v>
      </c>
      <c r="C109" t="s">
        <v>14</v>
      </c>
      <c r="D109" t="s">
        <v>15</v>
      </c>
      <c r="E109">
        <v>140000</v>
      </c>
      <c r="F109" t="s">
        <v>16</v>
      </c>
      <c r="G109">
        <v>140000</v>
      </c>
      <c r="H109" t="s">
        <v>17</v>
      </c>
      <c r="I109">
        <v>100</v>
      </c>
      <c r="J109" t="s">
        <v>17</v>
      </c>
      <c r="K109" t="s">
        <v>18</v>
      </c>
      <c r="L109" s="3">
        <f t="shared" si="2"/>
        <v>33234.629055007055</v>
      </c>
      <c r="M109" s="3">
        <f t="shared" si="3"/>
        <v>1104540568.4239192</v>
      </c>
    </row>
    <row r="110" spans="1:13" customFormat="1">
      <c r="A110">
        <v>2023</v>
      </c>
      <c r="B110" t="s">
        <v>13</v>
      </c>
      <c r="C110" t="s">
        <v>14</v>
      </c>
      <c r="D110" t="s">
        <v>15</v>
      </c>
      <c r="E110">
        <v>180180</v>
      </c>
      <c r="F110" t="s">
        <v>16</v>
      </c>
      <c r="G110">
        <v>180180</v>
      </c>
      <c r="H110" t="s">
        <v>17</v>
      </c>
      <c r="I110">
        <v>0</v>
      </c>
      <c r="J110" t="s">
        <v>17</v>
      </c>
      <c r="K110" t="s">
        <v>18</v>
      </c>
      <c r="L110" s="3">
        <f t="shared" si="2"/>
        <v>73414.629055007055</v>
      </c>
      <c r="M110" s="3">
        <f t="shared" si="3"/>
        <v>5389707759.2842865</v>
      </c>
    </row>
    <row r="111" spans="1:13" customFormat="1">
      <c r="A111">
        <v>2023</v>
      </c>
      <c r="B111" t="s">
        <v>13</v>
      </c>
      <c r="C111" t="s">
        <v>14</v>
      </c>
      <c r="D111" t="s">
        <v>15</v>
      </c>
      <c r="E111">
        <v>106020</v>
      </c>
      <c r="F111" t="s">
        <v>16</v>
      </c>
      <c r="G111">
        <v>106020</v>
      </c>
      <c r="H111" t="s">
        <v>17</v>
      </c>
      <c r="I111">
        <v>0</v>
      </c>
      <c r="J111" t="s">
        <v>17</v>
      </c>
      <c r="K111" t="s">
        <v>18</v>
      </c>
      <c r="L111" s="3">
        <f t="shared" si="2"/>
        <v>-745.37094499294471</v>
      </c>
      <c r="M111" s="3">
        <f t="shared" si="3"/>
        <v>555577.84563967539</v>
      </c>
    </row>
    <row r="112" spans="1:13" customFormat="1">
      <c r="A112">
        <v>2023</v>
      </c>
      <c r="B112" t="s">
        <v>13</v>
      </c>
      <c r="C112" t="s">
        <v>14</v>
      </c>
      <c r="D112" t="s">
        <v>15</v>
      </c>
      <c r="E112">
        <v>153600</v>
      </c>
      <c r="F112" t="s">
        <v>16</v>
      </c>
      <c r="G112">
        <v>153600</v>
      </c>
      <c r="H112" t="s">
        <v>17</v>
      </c>
      <c r="I112">
        <v>0</v>
      </c>
      <c r="J112" t="s">
        <v>17</v>
      </c>
      <c r="K112" t="s">
        <v>18</v>
      </c>
      <c r="L112" s="3">
        <f t="shared" si="2"/>
        <v>46834.629055007055</v>
      </c>
      <c r="M112" s="3">
        <f t="shared" si="3"/>
        <v>2193482478.7201109</v>
      </c>
    </row>
    <row r="113" spans="1:13" customFormat="1">
      <c r="A113">
        <v>2023</v>
      </c>
      <c r="B113" t="s">
        <v>13</v>
      </c>
      <c r="C113" t="s">
        <v>14</v>
      </c>
      <c r="D113" t="s">
        <v>15</v>
      </c>
      <c r="E113">
        <v>100500</v>
      </c>
      <c r="F113" t="s">
        <v>16</v>
      </c>
      <c r="G113">
        <v>100500</v>
      </c>
      <c r="H113" t="s">
        <v>17</v>
      </c>
      <c r="I113">
        <v>0</v>
      </c>
      <c r="J113" t="s">
        <v>17</v>
      </c>
      <c r="K113" t="s">
        <v>18</v>
      </c>
      <c r="L113" s="3">
        <f t="shared" si="2"/>
        <v>-6265.3709449929447</v>
      </c>
      <c r="M113" s="3">
        <f t="shared" si="3"/>
        <v>39254873.078361787</v>
      </c>
    </row>
    <row r="114" spans="1:13" customFormat="1">
      <c r="A114">
        <v>2023</v>
      </c>
      <c r="B114" t="s">
        <v>13</v>
      </c>
      <c r="C114" t="s">
        <v>14</v>
      </c>
      <c r="D114" t="s">
        <v>15</v>
      </c>
      <c r="E114">
        <v>206500</v>
      </c>
      <c r="F114" t="s">
        <v>16</v>
      </c>
      <c r="G114">
        <v>206500</v>
      </c>
      <c r="H114" t="s">
        <v>17</v>
      </c>
      <c r="I114">
        <v>100</v>
      </c>
      <c r="J114" t="s">
        <v>17</v>
      </c>
      <c r="K114" t="s">
        <v>18</v>
      </c>
      <c r="L114" s="3">
        <f t="shared" si="2"/>
        <v>99734.629055007055</v>
      </c>
      <c r="M114" s="3">
        <f t="shared" si="3"/>
        <v>9946996232.7398567</v>
      </c>
    </row>
    <row r="115" spans="1:13" customFormat="1">
      <c r="A115">
        <v>2023</v>
      </c>
      <c r="B115" t="s">
        <v>13</v>
      </c>
      <c r="C115" t="s">
        <v>14</v>
      </c>
      <c r="D115" t="s">
        <v>15</v>
      </c>
      <c r="E115">
        <v>121600</v>
      </c>
      <c r="F115" t="s">
        <v>16</v>
      </c>
      <c r="G115">
        <v>121600</v>
      </c>
      <c r="H115" t="s">
        <v>17</v>
      </c>
      <c r="I115">
        <v>100</v>
      </c>
      <c r="J115" t="s">
        <v>17</v>
      </c>
      <c r="K115" t="s">
        <v>18</v>
      </c>
      <c r="L115" s="3">
        <f t="shared" si="2"/>
        <v>14834.629055007055</v>
      </c>
      <c r="M115" s="3">
        <f t="shared" si="3"/>
        <v>220066219.19965953</v>
      </c>
    </row>
    <row r="116" spans="1:13" customFormat="1">
      <c r="A116">
        <v>2023</v>
      </c>
      <c r="B116" t="s">
        <v>28</v>
      </c>
      <c r="C116" t="s">
        <v>14</v>
      </c>
      <c r="D116" t="s">
        <v>15</v>
      </c>
      <c r="E116">
        <v>95000</v>
      </c>
      <c r="F116" t="s">
        <v>16</v>
      </c>
      <c r="G116">
        <v>95000</v>
      </c>
      <c r="H116" t="s">
        <v>17</v>
      </c>
      <c r="I116">
        <v>100</v>
      </c>
      <c r="J116" t="s">
        <v>17</v>
      </c>
      <c r="K116" t="s">
        <v>18</v>
      </c>
      <c r="L116" s="3">
        <f t="shared" si="2"/>
        <v>-11765.370944992945</v>
      </c>
      <c r="M116" s="3">
        <f t="shared" si="3"/>
        <v>138423953.47328418</v>
      </c>
    </row>
    <row r="117" spans="1:13" customFormat="1">
      <c r="A117">
        <v>2023</v>
      </c>
      <c r="B117" t="s">
        <v>28</v>
      </c>
      <c r="C117" t="s">
        <v>14</v>
      </c>
      <c r="D117" t="s">
        <v>15</v>
      </c>
      <c r="E117">
        <v>70000</v>
      </c>
      <c r="F117" t="s">
        <v>16</v>
      </c>
      <c r="G117">
        <v>70000</v>
      </c>
      <c r="H117" t="s">
        <v>17</v>
      </c>
      <c r="I117">
        <v>100</v>
      </c>
      <c r="J117" t="s">
        <v>17</v>
      </c>
      <c r="K117" t="s">
        <v>18</v>
      </c>
      <c r="L117" s="3">
        <f t="shared" si="2"/>
        <v>-36765.370944992945</v>
      </c>
      <c r="M117" s="3">
        <f t="shared" si="3"/>
        <v>1351692500.7229314</v>
      </c>
    </row>
    <row r="118" spans="1:13" customFormat="1">
      <c r="A118">
        <v>2023</v>
      </c>
      <c r="B118" t="s">
        <v>13</v>
      </c>
      <c r="C118" t="s">
        <v>14</v>
      </c>
      <c r="D118" t="s">
        <v>15</v>
      </c>
      <c r="E118">
        <v>115934</v>
      </c>
      <c r="F118" t="s">
        <v>16</v>
      </c>
      <c r="G118">
        <v>115934</v>
      </c>
      <c r="H118" t="s">
        <v>17</v>
      </c>
      <c r="I118">
        <v>100</v>
      </c>
      <c r="J118" t="s">
        <v>17</v>
      </c>
      <c r="K118" t="s">
        <v>18</v>
      </c>
      <c r="L118" s="3">
        <f t="shared" si="2"/>
        <v>9168.6290550070553</v>
      </c>
      <c r="M118" s="3">
        <f t="shared" si="3"/>
        <v>84063758.748319566</v>
      </c>
    </row>
    <row r="119" spans="1:13" customFormat="1">
      <c r="A119">
        <v>2023</v>
      </c>
      <c r="B119" t="s">
        <v>13</v>
      </c>
      <c r="C119" t="s">
        <v>14</v>
      </c>
      <c r="D119" t="s">
        <v>15</v>
      </c>
      <c r="E119">
        <v>81666</v>
      </c>
      <c r="F119" t="s">
        <v>16</v>
      </c>
      <c r="G119">
        <v>81666</v>
      </c>
      <c r="H119" t="s">
        <v>17</v>
      </c>
      <c r="I119">
        <v>100</v>
      </c>
      <c r="J119" t="s">
        <v>17</v>
      </c>
      <c r="K119" t="s">
        <v>18</v>
      </c>
      <c r="L119" s="3">
        <f t="shared" si="2"/>
        <v>-25099.370944992945</v>
      </c>
      <c r="M119" s="3">
        <f t="shared" si="3"/>
        <v>629978421.83435607</v>
      </c>
    </row>
    <row r="120" spans="1:13" customFormat="1">
      <c r="A120">
        <v>2023</v>
      </c>
      <c r="B120" t="s">
        <v>19</v>
      </c>
      <c r="C120" t="s">
        <v>14</v>
      </c>
      <c r="D120" t="s">
        <v>15</v>
      </c>
      <c r="E120">
        <v>206000</v>
      </c>
      <c r="F120" t="s">
        <v>16</v>
      </c>
      <c r="G120">
        <v>206000</v>
      </c>
      <c r="H120" t="s">
        <v>17</v>
      </c>
      <c r="I120">
        <v>0</v>
      </c>
      <c r="J120" t="s">
        <v>17</v>
      </c>
      <c r="K120" t="s">
        <v>18</v>
      </c>
      <c r="L120" s="3">
        <f t="shared" si="2"/>
        <v>99234.629055007055</v>
      </c>
      <c r="M120" s="3">
        <f t="shared" si="3"/>
        <v>9847511603.6848507</v>
      </c>
    </row>
    <row r="121" spans="1:13" customFormat="1">
      <c r="A121">
        <v>2023</v>
      </c>
      <c r="B121" t="s">
        <v>19</v>
      </c>
      <c r="C121" t="s">
        <v>14</v>
      </c>
      <c r="D121" t="s">
        <v>15</v>
      </c>
      <c r="E121">
        <v>130000</v>
      </c>
      <c r="F121" t="s">
        <v>16</v>
      </c>
      <c r="G121">
        <v>130000</v>
      </c>
      <c r="H121" t="s">
        <v>17</v>
      </c>
      <c r="I121">
        <v>0</v>
      </c>
      <c r="J121" t="s">
        <v>17</v>
      </c>
      <c r="K121" t="s">
        <v>18</v>
      </c>
      <c r="L121" s="3">
        <f t="shared" si="2"/>
        <v>23234.629055007055</v>
      </c>
      <c r="M121" s="3">
        <f t="shared" si="3"/>
        <v>539847987.32377803</v>
      </c>
    </row>
    <row r="122" spans="1:13" customFormat="1">
      <c r="A122">
        <v>2023</v>
      </c>
      <c r="B122" t="s">
        <v>13</v>
      </c>
      <c r="C122" t="s">
        <v>14</v>
      </c>
      <c r="D122" t="s">
        <v>15</v>
      </c>
      <c r="E122">
        <v>110000</v>
      </c>
      <c r="F122" t="s">
        <v>16</v>
      </c>
      <c r="G122">
        <v>110000</v>
      </c>
      <c r="H122" t="s">
        <v>17</v>
      </c>
      <c r="I122">
        <v>100</v>
      </c>
      <c r="J122" t="s">
        <v>17</v>
      </c>
      <c r="K122" t="s">
        <v>18</v>
      </c>
      <c r="L122" s="3">
        <f t="shared" si="2"/>
        <v>3234.6290550070553</v>
      </c>
      <c r="M122" s="3">
        <f t="shared" si="3"/>
        <v>10462825.123495836</v>
      </c>
    </row>
    <row r="123" spans="1:13" customFormat="1">
      <c r="A123">
        <v>2023</v>
      </c>
      <c r="B123" t="s">
        <v>13</v>
      </c>
      <c r="C123" t="s">
        <v>14</v>
      </c>
      <c r="D123" t="s">
        <v>15</v>
      </c>
      <c r="E123">
        <v>75000</v>
      </c>
      <c r="F123" t="s">
        <v>16</v>
      </c>
      <c r="G123">
        <v>75000</v>
      </c>
      <c r="H123" t="s">
        <v>17</v>
      </c>
      <c r="I123">
        <v>100</v>
      </c>
      <c r="J123" t="s">
        <v>17</v>
      </c>
      <c r="K123" t="s">
        <v>18</v>
      </c>
      <c r="L123" s="3">
        <f t="shared" si="2"/>
        <v>-31765.370944992945</v>
      </c>
      <c r="M123" s="3">
        <f t="shared" si="3"/>
        <v>1009038791.2730019</v>
      </c>
    </row>
    <row r="124" spans="1:13" customFormat="1">
      <c r="A124">
        <v>2023</v>
      </c>
      <c r="B124" t="s">
        <v>19</v>
      </c>
      <c r="C124" t="s">
        <v>14</v>
      </c>
      <c r="D124" t="s">
        <v>15</v>
      </c>
      <c r="E124">
        <v>160000</v>
      </c>
      <c r="F124" t="s">
        <v>16</v>
      </c>
      <c r="G124">
        <v>160000</v>
      </c>
      <c r="H124" t="s">
        <v>17</v>
      </c>
      <c r="I124">
        <v>0</v>
      </c>
      <c r="J124" t="s">
        <v>17</v>
      </c>
      <c r="K124" t="s">
        <v>18</v>
      </c>
      <c r="L124" s="3">
        <f t="shared" si="2"/>
        <v>53234.629055007055</v>
      </c>
      <c r="M124" s="3">
        <f t="shared" si="3"/>
        <v>2833925730.6242013</v>
      </c>
    </row>
    <row r="125" spans="1:13" customFormat="1">
      <c r="A125">
        <v>2023</v>
      </c>
      <c r="B125" t="s">
        <v>19</v>
      </c>
      <c r="C125" t="s">
        <v>14</v>
      </c>
      <c r="D125" t="s">
        <v>15</v>
      </c>
      <c r="E125">
        <v>112000</v>
      </c>
      <c r="F125" t="s">
        <v>16</v>
      </c>
      <c r="G125">
        <v>112000</v>
      </c>
      <c r="H125" t="s">
        <v>17</v>
      </c>
      <c r="I125">
        <v>0</v>
      </c>
      <c r="J125" t="s">
        <v>17</v>
      </c>
      <c r="K125" t="s">
        <v>18</v>
      </c>
      <c r="L125" s="3">
        <f t="shared" si="2"/>
        <v>5234.6290550070553</v>
      </c>
      <c r="M125" s="3">
        <f t="shared" si="3"/>
        <v>27401341.343524057</v>
      </c>
    </row>
    <row r="126" spans="1:13" customFormat="1">
      <c r="A126">
        <v>2023</v>
      </c>
      <c r="B126" t="s">
        <v>19</v>
      </c>
      <c r="C126" t="s">
        <v>14</v>
      </c>
      <c r="D126" t="s">
        <v>15</v>
      </c>
      <c r="E126">
        <v>100000</v>
      </c>
      <c r="F126" t="s">
        <v>16</v>
      </c>
      <c r="G126">
        <v>100000</v>
      </c>
      <c r="H126" t="s">
        <v>17</v>
      </c>
      <c r="I126">
        <v>0</v>
      </c>
      <c r="J126" t="s">
        <v>17</v>
      </c>
      <c r="K126" t="s">
        <v>18</v>
      </c>
      <c r="L126" s="3">
        <f t="shared" si="2"/>
        <v>-6765.3709449929447</v>
      </c>
      <c r="M126" s="3">
        <f t="shared" si="3"/>
        <v>45770244.023354732</v>
      </c>
    </row>
    <row r="127" spans="1:13" customFormat="1">
      <c r="A127">
        <v>2023</v>
      </c>
      <c r="B127" t="s">
        <v>19</v>
      </c>
      <c r="C127" t="s">
        <v>14</v>
      </c>
      <c r="D127" t="s">
        <v>15</v>
      </c>
      <c r="E127">
        <v>85000</v>
      </c>
      <c r="F127" t="s">
        <v>16</v>
      </c>
      <c r="G127">
        <v>85000</v>
      </c>
      <c r="H127" t="s">
        <v>17</v>
      </c>
      <c r="I127">
        <v>0</v>
      </c>
      <c r="J127" t="s">
        <v>17</v>
      </c>
      <c r="K127" t="s">
        <v>18</v>
      </c>
      <c r="L127" s="3">
        <f t="shared" si="2"/>
        <v>-21765.370944992945</v>
      </c>
      <c r="M127" s="3">
        <f t="shared" si="3"/>
        <v>473731372.37314308</v>
      </c>
    </row>
    <row r="128" spans="1:13" customFormat="1">
      <c r="A128">
        <v>2023</v>
      </c>
      <c r="B128" t="s">
        <v>13</v>
      </c>
      <c r="C128" t="s">
        <v>14</v>
      </c>
      <c r="D128" t="s">
        <v>15</v>
      </c>
      <c r="E128">
        <v>185000</v>
      </c>
      <c r="F128" t="s">
        <v>16</v>
      </c>
      <c r="G128">
        <v>185000</v>
      </c>
      <c r="H128" t="s">
        <v>17</v>
      </c>
      <c r="I128">
        <v>100</v>
      </c>
      <c r="J128" t="s">
        <v>17</v>
      </c>
      <c r="K128" t="s">
        <v>18</v>
      </c>
      <c r="L128" s="3">
        <f t="shared" si="2"/>
        <v>78234.629055007055</v>
      </c>
      <c r="M128" s="3">
        <f t="shared" si="3"/>
        <v>6120657183.3745537</v>
      </c>
    </row>
    <row r="129" spans="1:13" customFormat="1">
      <c r="A129">
        <v>2023</v>
      </c>
      <c r="B129" t="s">
        <v>13</v>
      </c>
      <c r="C129" t="s">
        <v>14</v>
      </c>
      <c r="D129" t="s">
        <v>15</v>
      </c>
      <c r="E129">
        <v>120250</v>
      </c>
      <c r="F129" t="s">
        <v>16</v>
      </c>
      <c r="G129">
        <v>120250</v>
      </c>
      <c r="H129" t="s">
        <v>17</v>
      </c>
      <c r="I129">
        <v>100</v>
      </c>
      <c r="J129" t="s">
        <v>17</v>
      </c>
      <c r="K129" t="s">
        <v>18</v>
      </c>
      <c r="L129" s="3">
        <f t="shared" si="2"/>
        <v>13484.629055007055</v>
      </c>
      <c r="M129" s="3">
        <f t="shared" si="3"/>
        <v>181835220.75114048</v>
      </c>
    </row>
    <row r="130" spans="1:13" customFormat="1">
      <c r="A130">
        <v>2023</v>
      </c>
      <c r="B130" t="s">
        <v>19</v>
      </c>
      <c r="C130" t="s">
        <v>14</v>
      </c>
      <c r="D130" t="s">
        <v>51</v>
      </c>
      <c r="E130">
        <v>130000</v>
      </c>
      <c r="F130" t="s">
        <v>16</v>
      </c>
      <c r="G130">
        <v>130000</v>
      </c>
      <c r="H130" t="s">
        <v>17</v>
      </c>
      <c r="I130">
        <v>100</v>
      </c>
      <c r="J130" t="s">
        <v>17</v>
      </c>
      <c r="K130" t="s">
        <v>31</v>
      </c>
      <c r="L130" s="3">
        <f t="shared" si="2"/>
        <v>23234.629055007055</v>
      </c>
      <c r="M130" s="3">
        <f t="shared" si="3"/>
        <v>539847987.32377803</v>
      </c>
    </row>
    <row r="131" spans="1:13" customFormat="1">
      <c r="A131">
        <v>2023</v>
      </c>
      <c r="B131" t="s">
        <v>13</v>
      </c>
      <c r="C131" t="s">
        <v>14</v>
      </c>
      <c r="D131" t="s">
        <v>15</v>
      </c>
      <c r="E131">
        <v>70000</v>
      </c>
      <c r="F131" t="s">
        <v>16</v>
      </c>
      <c r="G131">
        <v>70000</v>
      </c>
      <c r="H131" t="s">
        <v>17</v>
      </c>
      <c r="I131">
        <v>0</v>
      </c>
      <c r="J131" t="s">
        <v>17</v>
      </c>
      <c r="K131" t="s">
        <v>18</v>
      </c>
      <c r="L131" s="3">
        <f t="shared" ref="L131:L194" si="4">G131-$P$5</f>
        <v>-36765.370944992945</v>
      </c>
      <c r="M131" s="3">
        <f t="shared" ref="M131:M194" si="5">L131^2</f>
        <v>1351692500.7229314</v>
      </c>
    </row>
    <row r="132" spans="1:13" customFormat="1">
      <c r="A132">
        <v>2023</v>
      </c>
      <c r="B132" t="s">
        <v>13</v>
      </c>
      <c r="C132" t="s">
        <v>14</v>
      </c>
      <c r="D132" t="s">
        <v>15</v>
      </c>
      <c r="E132">
        <v>55000</v>
      </c>
      <c r="F132" t="s">
        <v>16</v>
      </c>
      <c r="G132">
        <v>55000</v>
      </c>
      <c r="H132" t="s">
        <v>17</v>
      </c>
      <c r="I132">
        <v>0</v>
      </c>
      <c r="J132" t="s">
        <v>17</v>
      </c>
      <c r="K132" t="s">
        <v>18</v>
      </c>
      <c r="L132" s="3">
        <f t="shared" si="4"/>
        <v>-51765.370944992945</v>
      </c>
      <c r="M132" s="3">
        <f t="shared" si="5"/>
        <v>2679653629.0727196</v>
      </c>
    </row>
    <row r="133" spans="1:13" customFormat="1">
      <c r="A133">
        <v>2023</v>
      </c>
      <c r="B133" t="s">
        <v>19</v>
      </c>
      <c r="C133" t="s">
        <v>14</v>
      </c>
      <c r="D133" t="s">
        <v>15</v>
      </c>
      <c r="E133">
        <v>75000</v>
      </c>
      <c r="F133" t="s">
        <v>16</v>
      </c>
      <c r="G133">
        <v>75000</v>
      </c>
      <c r="H133" t="s">
        <v>17</v>
      </c>
      <c r="I133">
        <v>100</v>
      </c>
      <c r="J133" t="s">
        <v>17</v>
      </c>
      <c r="K133" t="s">
        <v>18</v>
      </c>
      <c r="L133" s="3">
        <f t="shared" si="4"/>
        <v>-31765.370944992945</v>
      </c>
      <c r="M133" s="3">
        <f t="shared" si="5"/>
        <v>1009038791.2730019</v>
      </c>
    </row>
    <row r="134" spans="1:13" customFormat="1">
      <c r="A134">
        <v>2023</v>
      </c>
      <c r="B134" t="s">
        <v>19</v>
      </c>
      <c r="C134" t="s">
        <v>14</v>
      </c>
      <c r="D134" t="s">
        <v>15</v>
      </c>
      <c r="E134">
        <v>65000</v>
      </c>
      <c r="F134" t="s">
        <v>16</v>
      </c>
      <c r="G134">
        <v>65000</v>
      </c>
      <c r="H134" t="s">
        <v>17</v>
      </c>
      <c r="I134">
        <v>100</v>
      </c>
      <c r="J134" t="s">
        <v>17</v>
      </c>
      <c r="K134" t="s">
        <v>18</v>
      </c>
      <c r="L134" s="3">
        <f t="shared" si="4"/>
        <v>-41765.370944992945</v>
      </c>
      <c r="M134" s="3">
        <f t="shared" si="5"/>
        <v>1744346210.1728609</v>
      </c>
    </row>
    <row r="135" spans="1:13" customFormat="1">
      <c r="A135">
        <v>2023</v>
      </c>
      <c r="B135" t="s">
        <v>13</v>
      </c>
      <c r="C135" t="s">
        <v>14</v>
      </c>
      <c r="D135" t="s">
        <v>15</v>
      </c>
      <c r="E135">
        <v>180180</v>
      </c>
      <c r="F135" t="s">
        <v>16</v>
      </c>
      <c r="G135">
        <v>180180</v>
      </c>
      <c r="H135" t="s">
        <v>17</v>
      </c>
      <c r="I135">
        <v>0</v>
      </c>
      <c r="J135" t="s">
        <v>17</v>
      </c>
      <c r="K135" t="s">
        <v>18</v>
      </c>
      <c r="L135" s="3">
        <f t="shared" si="4"/>
        <v>73414.629055007055</v>
      </c>
      <c r="M135" s="3">
        <f t="shared" si="5"/>
        <v>5389707759.2842865</v>
      </c>
    </row>
    <row r="136" spans="1:13" customFormat="1">
      <c r="A136">
        <v>2023</v>
      </c>
      <c r="B136" t="s">
        <v>13</v>
      </c>
      <c r="C136" t="s">
        <v>14</v>
      </c>
      <c r="D136" t="s">
        <v>15</v>
      </c>
      <c r="E136">
        <v>106020</v>
      </c>
      <c r="F136" t="s">
        <v>16</v>
      </c>
      <c r="G136">
        <v>106020</v>
      </c>
      <c r="H136" t="s">
        <v>17</v>
      </c>
      <c r="I136">
        <v>0</v>
      </c>
      <c r="J136" t="s">
        <v>17</v>
      </c>
      <c r="K136" t="s">
        <v>18</v>
      </c>
      <c r="L136" s="3">
        <f t="shared" si="4"/>
        <v>-745.37094499294471</v>
      </c>
      <c r="M136" s="3">
        <f t="shared" si="5"/>
        <v>555577.84563967539</v>
      </c>
    </row>
    <row r="137" spans="1:13" customFormat="1">
      <c r="A137">
        <v>2023</v>
      </c>
      <c r="B137" t="s">
        <v>19</v>
      </c>
      <c r="C137" t="s">
        <v>14</v>
      </c>
      <c r="D137" t="s">
        <v>48</v>
      </c>
      <c r="E137">
        <v>1500000</v>
      </c>
      <c r="F137" t="s">
        <v>52</v>
      </c>
      <c r="G137">
        <v>18238</v>
      </c>
      <c r="H137" t="s">
        <v>53</v>
      </c>
      <c r="I137">
        <v>50</v>
      </c>
      <c r="J137" t="s">
        <v>53</v>
      </c>
      <c r="K137" t="s">
        <v>31</v>
      </c>
      <c r="L137" s="3">
        <f t="shared" si="4"/>
        <v>-88527.370944992945</v>
      </c>
      <c r="M137" s="3">
        <f t="shared" si="5"/>
        <v>7837095406.4323807</v>
      </c>
    </row>
    <row r="138" spans="1:13" customFormat="1">
      <c r="A138">
        <v>2023</v>
      </c>
      <c r="B138" t="s">
        <v>28</v>
      </c>
      <c r="C138" t="s">
        <v>14</v>
      </c>
      <c r="D138" t="s">
        <v>15</v>
      </c>
      <c r="E138">
        <v>75000</v>
      </c>
      <c r="F138" t="s">
        <v>16</v>
      </c>
      <c r="G138">
        <v>75000</v>
      </c>
      <c r="H138" t="s">
        <v>17</v>
      </c>
      <c r="I138">
        <v>100</v>
      </c>
      <c r="J138" t="s">
        <v>17</v>
      </c>
      <c r="K138" t="s">
        <v>18</v>
      </c>
      <c r="L138" s="3">
        <f t="shared" si="4"/>
        <v>-31765.370944992945</v>
      </c>
      <c r="M138" s="3">
        <f t="shared" si="5"/>
        <v>1009038791.2730019</v>
      </c>
    </row>
    <row r="139" spans="1:13" customFormat="1">
      <c r="A139">
        <v>2023</v>
      </c>
      <c r="B139" t="s">
        <v>28</v>
      </c>
      <c r="C139" t="s">
        <v>14</v>
      </c>
      <c r="D139" t="s">
        <v>15</v>
      </c>
      <c r="E139">
        <v>60000</v>
      </c>
      <c r="F139" t="s">
        <v>16</v>
      </c>
      <c r="G139">
        <v>60000</v>
      </c>
      <c r="H139" t="s">
        <v>17</v>
      </c>
      <c r="I139">
        <v>100</v>
      </c>
      <c r="J139" t="s">
        <v>17</v>
      </c>
      <c r="K139" t="s">
        <v>18</v>
      </c>
      <c r="L139" s="3">
        <f t="shared" si="4"/>
        <v>-46765.370944992945</v>
      </c>
      <c r="M139" s="3">
        <f t="shared" si="5"/>
        <v>2186999919.6227903</v>
      </c>
    </row>
    <row r="140" spans="1:13" customFormat="1">
      <c r="A140">
        <v>2023</v>
      </c>
      <c r="B140" t="s">
        <v>13</v>
      </c>
      <c r="C140" t="s">
        <v>14</v>
      </c>
      <c r="D140" t="s">
        <v>15</v>
      </c>
      <c r="E140">
        <v>169000</v>
      </c>
      <c r="F140" t="s">
        <v>16</v>
      </c>
      <c r="G140">
        <v>169000</v>
      </c>
      <c r="H140" t="s">
        <v>17</v>
      </c>
      <c r="I140">
        <v>0</v>
      </c>
      <c r="J140" t="s">
        <v>17</v>
      </c>
      <c r="K140" t="s">
        <v>18</v>
      </c>
      <c r="L140" s="3">
        <f t="shared" si="4"/>
        <v>62234.629055007055</v>
      </c>
      <c r="M140" s="3">
        <f t="shared" si="5"/>
        <v>3873149053.6143284</v>
      </c>
    </row>
    <row r="141" spans="1:13" customFormat="1">
      <c r="A141">
        <v>2023</v>
      </c>
      <c r="B141" t="s">
        <v>13</v>
      </c>
      <c r="C141" t="s">
        <v>14</v>
      </c>
      <c r="D141" t="s">
        <v>15</v>
      </c>
      <c r="E141">
        <v>110600</v>
      </c>
      <c r="F141" t="s">
        <v>16</v>
      </c>
      <c r="G141">
        <v>110600</v>
      </c>
      <c r="H141" t="s">
        <v>17</v>
      </c>
      <c r="I141">
        <v>0</v>
      </c>
      <c r="J141" t="s">
        <v>17</v>
      </c>
      <c r="K141" t="s">
        <v>18</v>
      </c>
      <c r="L141" s="3">
        <f t="shared" si="4"/>
        <v>3834.6290550070553</v>
      </c>
      <c r="M141" s="3">
        <f t="shared" si="5"/>
        <v>14704379.989504302</v>
      </c>
    </row>
    <row r="142" spans="1:13" customFormat="1">
      <c r="A142">
        <v>2023</v>
      </c>
      <c r="B142" t="s">
        <v>19</v>
      </c>
      <c r="C142" t="s">
        <v>14</v>
      </c>
      <c r="D142" t="s">
        <v>36</v>
      </c>
      <c r="E142">
        <v>155000</v>
      </c>
      <c r="F142" t="s">
        <v>16</v>
      </c>
      <c r="G142">
        <v>155000</v>
      </c>
      <c r="H142" t="s">
        <v>17</v>
      </c>
      <c r="I142">
        <v>0</v>
      </c>
      <c r="J142" t="s">
        <v>17</v>
      </c>
      <c r="K142" t="s">
        <v>18</v>
      </c>
      <c r="L142" s="3">
        <f t="shared" si="4"/>
        <v>48234.629055007055</v>
      </c>
      <c r="M142" s="3">
        <f t="shared" si="5"/>
        <v>2326579440.074131</v>
      </c>
    </row>
    <row r="143" spans="1:13" customFormat="1">
      <c r="A143">
        <v>2023</v>
      </c>
      <c r="B143" t="s">
        <v>19</v>
      </c>
      <c r="C143" t="s">
        <v>14</v>
      </c>
      <c r="D143" t="s">
        <v>36</v>
      </c>
      <c r="E143">
        <v>140000</v>
      </c>
      <c r="F143" t="s">
        <v>16</v>
      </c>
      <c r="G143">
        <v>140000</v>
      </c>
      <c r="H143" t="s">
        <v>17</v>
      </c>
      <c r="I143">
        <v>0</v>
      </c>
      <c r="J143" t="s">
        <v>17</v>
      </c>
      <c r="K143" t="s">
        <v>18</v>
      </c>
      <c r="L143" s="3">
        <f t="shared" si="4"/>
        <v>33234.629055007055</v>
      </c>
      <c r="M143" s="3">
        <f t="shared" si="5"/>
        <v>1104540568.4239192</v>
      </c>
    </row>
    <row r="144" spans="1:13" customFormat="1">
      <c r="A144">
        <v>2023</v>
      </c>
      <c r="B144" t="s">
        <v>13</v>
      </c>
      <c r="C144" t="s">
        <v>14</v>
      </c>
      <c r="D144" t="s">
        <v>15</v>
      </c>
      <c r="E144">
        <v>250000</v>
      </c>
      <c r="F144" t="s">
        <v>16</v>
      </c>
      <c r="G144">
        <v>250000</v>
      </c>
      <c r="H144" t="s">
        <v>17</v>
      </c>
      <c r="I144">
        <v>100</v>
      </c>
      <c r="J144" t="s">
        <v>17</v>
      </c>
      <c r="K144" t="s">
        <v>18</v>
      </c>
      <c r="L144" s="3">
        <f t="shared" si="4"/>
        <v>143234.62905500707</v>
      </c>
      <c r="M144" s="3">
        <f t="shared" si="5"/>
        <v>20516158960.525475</v>
      </c>
    </row>
    <row r="145" spans="1:13" customFormat="1">
      <c r="A145">
        <v>2023</v>
      </c>
      <c r="B145" t="s">
        <v>13</v>
      </c>
      <c r="C145" t="s">
        <v>14</v>
      </c>
      <c r="D145" t="s">
        <v>15</v>
      </c>
      <c r="E145">
        <v>138000</v>
      </c>
      <c r="F145" t="s">
        <v>16</v>
      </c>
      <c r="G145">
        <v>138000</v>
      </c>
      <c r="H145" t="s">
        <v>17</v>
      </c>
      <c r="I145">
        <v>100</v>
      </c>
      <c r="J145" t="s">
        <v>17</v>
      </c>
      <c r="K145" t="s">
        <v>18</v>
      </c>
      <c r="L145" s="3">
        <f t="shared" si="4"/>
        <v>31234.629055007055</v>
      </c>
      <c r="M145" s="3">
        <f t="shared" si="5"/>
        <v>975602052.20389092</v>
      </c>
    </row>
    <row r="146" spans="1:13" customFormat="1">
      <c r="A146">
        <v>2023</v>
      </c>
      <c r="B146" t="s">
        <v>19</v>
      </c>
      <c r="C146" t="s">
        <v>14</v>
      </c>
      <c r="D146" t="s">
        <v>15</v>
      </c>
      <c r="E146">
        <v>130000</v>
      </c>
      <c r="F146" t="s">
        <v>16</v>
      </c>
      <c r="G146">
        <v>130000</v>
      </c>
      <c r="H146" t="s">
        <v>46</v>
      </c>
      <c r="I146">
        <v>100</v>
      </c>
      <c r="J146" t="s">
        <v>46</v>
      </c>
      <c r="K146" t="s">
        <v>18</v>
      </c>
      <c r="L146" s="3">
        <f t="shared" si="4"/>
        <v>23234.629055007055</v>
      </c>
      <c r="M146" s="3">
        <f t="shared" si="5"/>
        <v>539847987.32377803</v>
      </c>
    </row>
    <row r="147" spans="1:13" customFormat="1">
      <c r="A147">
        <v>2023</v>
      </c>
      <c r="B147" t="s">
        <v>19</v>
      </c>
      <c r="C147" t="s">
        <v>14</v>
      </c>
      <c r="D147" t="s">
        <v>15</v>
      </c>
      <c r="E147">
        <v>100000</v>
      </c>
      <c r="F147" t="s">
        <v>16</v>
      </c>
      <c r="G147">
        <v>100000</v>
      </c>
      <c r="H147" t="s">
        <v>46</v>
      </c>
      <c r="I147">
        <v>100</v>
      </c>
      <c r="J147" t="s">
        <v>46</v>
      </c>
      <c r="K147" t="s">
        <v>18</v>
      </c>
      <c r="L147" s="3">
        <f t="shared" si="4"/>
        <v>-6765.3709449929447</v>
      </c>
      <c r="M147" s="3">
        <f t="shared" si="5"/>
        <v>45770244.023354732</v>
      </c>
    </row>
    <row r="148" spans="1:13" customFormat="1">
      <c r="A148">
        <v>2023</v>
      </c>
      <c r="B148" t="s">
        <v>13</v>
      </c>
      <c r="C148" t="s">
        <v>14</v>
      </c>
      <c r="D148" t="s">
        <v>54</v>
      </c>
      <c r="E148">
        <v>160000</v>
      </c>
      <c r="F148" t="s">
        <v>16</v>
      </c>
      <c r="G148">
        <v>160000</v>
      </c>
      <c r="H148" t="s">
        <v>17</v>
      </c>
      <c r="I148">
        <v>0</v>
      </c>
      <c r="J148" t="s">
        <v>17</v>
      </c>
      <c r="K148" t="s">
        <v>18</v>
      </c>
      <c r="L148" s="3">
        <f t="shared" si="4"/>
        <v>53234.629055007055</v>
      </c>
      <c r="M148" s="3">
        <f t="shared" si="5"/>
        <v>2833925730.6242013</v>
      </c>
    </row>
    <row r="149" spans="1:13" customFormat="1">
      <c r="A149">
        <v>2023</v>
      </c>
      <c r="B149" t="s">
        <v>13</v>
      </c>
      <c r="C149" t="s">
        <v>14</v>
      </c>
      <c r="D149" t="s">
        <v>54</v>
      </c>
      <c r="E149">
        <v>135000</v>
      </c>
      <c r="F149" t="s">
        <v>16</v>
      </c>
      <c r="G149">
        <v>135000</v>
      </c>
      <c r="H149" t="s">
        <v>17</v>
      </c>
      <c r="I149">
        <v>0</v>
      </c>
      <c r="J149" t="s">
        <v>17</v>
      </c>
      <c r="K149" t="s">
        <v>18</v>
      </c>
      <c r="L149" s="3">
        <f t="shared" si="4"/>
        <v>28234.629055007055</v>
      </c>
      <c r="M149" s="3">
        <f t="shared" si="5"/>
        <v>797194277.87384856</v>
      </c>
    </row>
    <row r="150" spans="1:13" customFormat="1">
      <c r="A150">
        <v>2023</v>
      </c>
      <c r="B150" t="s">
        <v>13</v>
      </c>
      <c r="C150" t="s">
        <v>14</v>
      </c>
      <c r="D150" t="s">
        <v>15</v>
      </c>
      <c r="E150">
        <v>127000</v>
      </c>
      <c r="F150" t="s">
        <v>16</v>
      </c>
      <c r="G150">
        <v>127000</v>
      </c>
      <c r="H150" t="s">
        <v>17</v>
      </c>
      <c r="I150">
        <v>100</v>
      </c>
      <c r="J150" t="s">
        <v>17</v>
      </c>
      <c r="K150" t="s">
        <v>18</v>
      </c>
      <c r="L150" s="3">
        <f t="shared" si="4"/>
        <v>20234.629055007055</v>
      </c>
      <c r="M150" s="3">
        <f t="shared" si="5"/>
        <v>409440212.99373573</v>
      </c>
    </row>
    <row r="151" spans="1:13" customFormat="1">
      <c r="A151">
        <v>2023</v>
      </c>
      <c r="B151" t="s">
        <v>13</v>
      </c>
      <c r="C151" t="s">
        <v>14</v>
      </c>
      <c r="D151" t="s">
        <v>15</v>
      </c>
      <c r="E151">
        <v>94000</v>
      </c>
      <c r="F151" t="s">
        <v>16</v>
      </c>
      <c r="G151">
        <v>94000</v>
      </c>
      <c r="H151" t="s">
        <v>17</v>
      </c>
      <c r="I151">
        <v>100</v>
      </c>
      <c r="J151" t="s">
        <v>17</v>
      </c>
      <c r="K151" t="s">
        <v>18</v>
      </c>
      <c r="L151" s="3">
        <f t="shared" si="4"/>
        <v>-12765.370944992945</v>
      </c>
      <c r="M151" s="3">
        <f t="shared" si="5"/>
        <v>162954695.36327007</v>
      </c>
    </row>
    <row r="152" spans="1:13" customFormat="1">
      <c r="A152">
        <v>2023</v>
      </c>
      <c r="B152" t="s">
        <v>13</v>
      </c>
      <c r="C152" t="s">
        <v>14</v>
      </c>
      <c r="D152" t="s">
        <v>15</v>
      </c>
      <c r="E152">
        <v>161500</v>
      </c>
      <c r="F152" t="s">
        <v>16</v>
      </c>
      <c r="G152">
        <v>161500</v>
      </c>
      <c r="H152" t="s">
        <v>17</v>
      </c>
      <c r="I152">
        <v>100</v>
      </c>
      <c r="J152" t="s">
        <v>17</v>
      </c>
      <c r="K152" t="s">
        <v>18</v>
      </c>
      <c r="L152" s="3">
        <f t="shared" si="4"/>
        <v>54734.629055007055</v>
      </c>
      <c r="M152" s="3">
        <f t="shared" si="5"/>
        <v>2995879617.7892227</v>
      </c>
    </row>
    <row r="153" spans="1:13" customFormat="1">
      <c r="A153">
        <v>2023</v>
      </c>
      <c r="B153" t="s">
        <v>13</v>
      </c>
      <c r="C153" t="s">
        <v>14</v>
      </c>
      <c r="D153" t="s">
        <v>15</v>
      </c>
      <c r="E153">
        <v>119500</v>
      </c>
      <c r="F153" t="s">
        <v>16</v>
      </c>
      <c r="G153">
        <v>119500</v>
      </c>
      <c r="H153" t="s">
        <v>17</v>
      </c>
      <c r="I153">
        <v>100</v>
      </c>
      <c r="J153" t="s">
        <v>17</v>
      </c>
      <c r="K153" t="s">
        <v>18</v>
      </c>
      <c r="L153" s="3">
        <f t="shared" si="4"/>
        <v>12734.629055007055</v>
      </c>
      <c r="M153" s="3">
        <f t="shared" si="5"/>
        <v>162170777.16862988</v>
      </c>
    </row>
    <row r="154" spans="1:13" customFormat="1">
      <c r="A154">
        <v>2023</v>
      </c>
      <c r="B154" t="s">
        <v>13</v>
      </c>
      <c r="C154" t="s">
        <v>14</v>
      </c>
      <c r="D154" t="s">
        <v>15</v>
      </c>
      <c r="E154">
        <v>175000</v>
      </c>
      <c r="F154" t="s">
        <v>16</v>
      </c>
      <c r="G154">
        <v>175000</v>
      </c>
      <c r="H154" t="s">
        <v>17</v>
      </c>
      <c r="I154">
        <v>0</v>
      </c>
      <c r="J154" t="s">
        <v>17</v>
      </c>
      <c r="K154" t="s">
        <v>18</v>
      </c>
      <c r="L154" s="3">
        <f t="shared" si="4"/>
        <v>68234.629055007055</v>
      </c>
      <c r="M154" s="3">
        <f t="shared" si="5"/>
        <v>4655964602.2744131</v>
      </c>
    </row>
    <row r="155" spans="1:13" customFormat="1">
      <c r="A155">
        <v>2023</v>
      </c>
      <c r="B155" t="s">
        <v>13</v>
      </c>
      <c r="C155" t="s">
        <v>14</v>
      </c>
      <c r="D155" t="s">
        <v>15</v>
      </c>
      <c r="E155">
        <v>145000</v>
      </c>
      <c r="F155" t="s">
        <v>16</v>
      </c>
      <c r="G155">
        <v>145000</v>
      </c>
      <c r="H155" t="s">
        <v>17</v>
      </c>
      <c r="I155">
        <v>0</v>
      </c>
      <c r="J155" t="s">
        <v>17</v>
      </c>
      <c r="K155" t="s">
        <v>18</v>
      </c>
      <c r="L155" s="3">
        <f t="shared" si="4"/>
        <v>38234.629055007055</v>
      </c>
      <c r="M155" s="3">
        <f t="shared" si="5"/>
        <v>1461886858.9739897</v>
      </c>
    </row>
    <row r="156" spans="1:13" customFormat="1">
      <c r="A156">
        <v>2023</v>
      </c>
      <c r="B156" t="s">
        <v>13</v>
      </c>
      <c r="C156" t="s">
        <v>14</v>
      </c>
      <c r="D156" t="s">
        <v>15</v>
      </c>
      <c r="E156">
        <v>185900</v>
      </c>
      <c r="F156" t="s">
        <v>16</v>
      </c>
      <c r="G156">
        <v>185900</v>
      </c>
      <c r="H156" t="s">
        <v>17</v>
      </c>
      <c r="I156">
        <v>0</v>
      </c>
      <c r="J156" t="s">
        <v>17</v>
      </c>
      <c r="K156" t="s">
        <v>18</v>
      </c>
      <c r="L156" s="3">
        <f t="shared" si="4"/>
        <v>79134.629055007055</v>
      </c>
      <c r="M156" s="3">
        <f t="shared" si="5"/>
        <v>6262289515.6735668</v>
      </c>
    </row>
    <row r="157" spans="1:13" customFormat="1">
      <c r="A157">
        <v>2023</v>
      </c>
      <c r="B157" t="s">
        <v>13</v>
      </c>
      <c r="C157" t="s">
        <v>14</v>
      </c>
      <c r="D157" t="s">
        <v>15</v>
      </c>
      <c r="E157">
        <v>121700</v>
      </c>
      <c r="F157" t="s">
        <v>16</v>
      </c>
      <c r="G157">
        <v>121700</v>
      </c>
      <c r="H157" t="s">
        <v>17</v>
      </c>
      <c r="I157">
        <v>0</v>
      </c>
      <c r="J157" t="s">
        <v>17</v>
      </c>
      <c r="K157" t="s">
        <v>18</v>
      </c>
      <c r="L157" s="3">
        <f t="shared" si="4"/>
        <v>14934.629055007055</v>
      </c>
      <c r="M157" s="3">
        <f t="shared" si="5"/>
        <v>223043145.01066092</v>
      </c>
    </row>
    <row r="158" spans="1:13" customFormat="1">
      <c r="A158">
        <v>2023</v>
      </c>
      <c r="B158" t="s">
        <v>13</v>
      </c>
      <c r="C158" t="s">
        <v>14</v>
      </c>
      <c r="D158" t="s">
        <v>15</v>
      </c>
      <c r="E158">
        <v>153600</v>
      </c>
      <c r="F158" t="s">
        <v>16</v>
      </c>
      <c r="G158">
        <v>153600</v>
      </c>
      <c r="H158" t="s">
        <v>17</v>
      </c>
      <c r="I158">
        <v>0</v>
      </c>
      <c r="J158" t="s">
        <v>17</v>
      </c>
      <c r="K158" t="s">
        <v>18</v>
      </c>
      <c r="L158" s="3">
        <f t="shared" si="4"/>
        <v>46834.629055007055</v>
      </c>
      <c r="M158" s="3">
        <f t="shared" si="5"/>
        <v>2193482478.7201109</v>
      </c>
    </row>
    <row r="159" spans="1:13" customFormat="1">
      <c r="A159">
        <v>2023</v>
      </c>
      <c r="B159" t="s">
        <v>13</v>
      </c>
      <c r="C159" t="s">
        <v>14</v>
      </c>
      <c r="D159" t="s">
        <v>15</v>
      </c>
      <c r="E159">
        <v>106800</v>
      </c>
      <c r="F159" t="s">
        <v>16</v>
      </c>
      <c r="G159">
        <v>106800</v>
      </c>
      <c r="H159" t="s">
        <v>17</v>
      </c>
      <c r="I159">
        <v>0</v>
      </c>
      <c r="J159" t="s">
        <v>17</v>
      </c>
      <c r="K159" t="s">
        <v>18</v>
      </c>
      <c r="L159" s="3">
        <f t="shared" si="4"/>
        <v>34.629055007055285</v>
      </c>
      <c r="M159" s="3">
        <f t="shared" si="5"/>
        <v>1199.1714506816606</v>
      </c>
    </row>
    <row r="160" spans="1:13" customFormat="1">
      <c r="A160">
        <v>2023</v>
      </c>
      <c r="B160" t="s">
        <v>28</v>
      </c>
      <c r="C160" t="s">
        <v>14</v>
      </c>
      <c r="D160" t="s">
        <v>15</v>
      </c>
      <c r="E160">
        <v>100000</v>
      </c>
      <c r="F160" t="s">
        <v>16</v>
      </c>
      <c r="G160">
        <v>100000</v>
      </c>
      <c r="H160" t="s">
        <v>55</v>
      </c>
      <c r="I160">
        <v>100</v>
      </c>
      <c r="J160" t="s">
        <v>17</v>
      </c>
      <c r="K160" t="s">
        <v>31</v>
      </c>
      <c r="L160" s="3">
        <f t="shared" si="4"/>
        <v>-6765.3709449929447</v>
      </c>
      <c r="M160" s="3">
        <f t="shared" si="5"/>
        <v>45770244.023354732</v>
      </c>
    </row>
    <row r="161" spans="1:13" customFormat="1">
      <c r="A161">
        <v>2023</v>
      </c>
      <c r="B161" t="s">
        <v>13</v>
      </c>
      <c r="C161" t="s">
        <v>14</v>
      </c>
      <c r="D161" t="s">
        <v>15</v>
      </c>
      <c r="E161">
        <v>125000</v>
      </c>
      <c r="F161" t="s">
        <v>16</v>
      </c>
      <c r="G161">
        <v>125000</v>
      </c>
      <c r="H161" t="s">
        <v>17</v>
      </c>
      <c r="I161">
        <v>0</v>
      </c>
      <c r="J161" t="s">
        <v>17</v>
      </c>
      <c r="K161" t="s">
        <v>18</v>
      </c>
      <c r="L161" s="3">
        <f t="shared" si="4"/>
        <v>18234.629055007055</v>
      </c>
      <c r="M161" s="3">
        <f t="shared" si="5"/>
        <v>332501696.77370751</v>
      </c>
    </row>
    <row r="162" spans="1:13" customFormat="1">
      <c r="A162">
        <v>2023</v>
      </c>
      <c r="B162" t="s">
        <v>13</v>
      </c>
      <c r="C162" t="s">
        <v>14</v>
      </c>
      <c r="D162" t="s">
        <v>15</v>
      </c>
      <c r="E162">
        <v>110000</v>
      </c>
      <c r="F162" t="s">
        <v>16</v>
      </c>
      <c r="G162">
        <v>110000</v>
      </c>
      <c r="H162" t="s">
        <v>17</v>
      </c>
      <c r="I162">
        <v>0</v>
      </c>
      <c r="J162" t="s">
        <v>17</v>
      </c>
      <c r="K162" t="s">
        <v>18</v>
      </c>
      <c r="L162" s="3">
        <f t="shared" si="4"/>
        <v>3234.6290550070553</v>
      </c>
      <c r="M162" s="3">
        <f t="shared" si="5"/>
        <v>10462825.123495836</v>
      </c>
    </row>
    <row r="163" spans="1:13" customFormat="1">
      <c r="A163">
        <v>2023</v>
      </c>
      <c r="B163" t="s">
        <v>28</v>
      </c>
      <c r="C163" t="s">
        <v>14</v>
      </c>
      <c r="D163" t="s">
        <v>15</v>
      </c>
      <c r="E163">
        <v>150000</v>
      </c>
      <c r="F163" t="s">
        <v>16</v>
      </c>
      <c r="G163">
        <v>150000</v>
      </c>
      <c r="H163" t="s">
        <v>17</v>
      </c>
      <c r="I163">
        <v>0</v>
      </c>
      <c r="J163" t="s">
        <v>17</v>
      </c>
      <c r="K163" t="s">
        <v>18</v>
      </c>
      <c r="L163" s="3">
        <f t="shared" si="4"/>
        <v>43234.629055007055</v>
      </c>
      <c r="M163" s="3">
        <f t="shared" si="5"/>
        <v>1869233149.5240602</v>
      </c>
    </row>
    <row r="164" spans="1:13" customFormat="1">
      <c r="A164">
        <v>2023</v>
      </c>
      <c r="B164" t="s">
        <v>28</v>
      </c>
      <c r="C164" t="s">
        <v>14</v>
      </c>
      <c r="D164" t="s">
        <v>15</v>
      </c>
      <c r="E164">
        <v>100000</v>
      </c>
      <c r="F164" t="s">
        <v>16</v>
      </c>
      <c r="G164">
        <v>100000</v>
      </c>
      <c r="H164" t="s">
        <v>17</v>
      </c>
      <c r="I164">
        <v>0</v>
      </c>
      <c r="J164" t="s">
        <v>17</v>
      </c>
      <c r="K164" t="s">
        <v>18</v>
      </c>
      <c r="L164" s="3">
        <f t="shared" si="4"/>
        <v>-6765.3709449929447</v>
      </c>
      <c r="M164" s="3">
        <f t="shared" si="5"/>
        <v>45770244.023354732</v>
      </c>
    </row>
    <row r="165" spans="1:13" customFormat="1">
      <c r="A165">
        <v>2023</v>
      </c>
      <c r="B165" t="s">
        <v>19</v>
      </c>
      <c r="C165" t="s">
        <v>14</v>
      </c>
      <c r="D165" t="s">
        <v>15</v>
      </c>
      <c r="E165">
        <v>80000</v>
      </c>
      <c r="F165" t="s">
        <v>41</v>
      </c>
      <c r="G165">
        <v>97218</v>
      </c>
      <c r="H165" t="s">
        <v>42</v>
      </c>
      <c r="I165">
        <v>0</v>
      </c>
      <c r="J165" t="s">
        <v>42</v>
      </c>
      <c r="K165" t="s">
        <v>18</v>
      </c>
      <c r="L165" s="3">
        <f t="shared" si="4"/>
        <v>-9547.3709449929447</v>
      </c>
      <c r="M165" s="3">
        <f t="shared" si="5"/>
        <v>91152291.961295471</v>
      </c>
    </row>
    <row r="166" spans="1:13" customFormat="1">
      <c r="A166">
        <v>2023</v>
      </c>
      <c r="B166" t="s">
        <v>19</v>
      </c>
      <c r="C166" t="s">
        <v>14</v>
      </c>
      <c r="D166" t="s">
        <v>15</v>
      </c>
      <c r="E166">
        <v>40000</v>
      </c>
      <c r="F166" t="s">
        <v>41</v>
      </c>
      <c r="G166">
        <v>48609</v>
      </c>
      <c r="H166" t="s">
        <v>42</v>
      </c>
      <c r="I166">
        <v>0</v>
      </c>
      <c r="J166" t="s">
        <v>42</v>
      </c>
      <c r="K166" t="s">
        <v>18</v>
      </c>
      <c r="L166" s="3">
        <f t="shared" si="4"/>
        <v>-58156.370944992945</v>
      </c>
      <c r="M166" s="3">
        <f t="shared" si="5"/>
        <v>3382163481.4916196</v>
      </c>
    </row>
    <row r="167" spans="1:13" customFormat="1">
      <c r="A167">
        <v>2023</v>
      </c>
      <c r="B167" t="s">
        <v>13</v>
      </c>
      <c r="C167" t="s">
        <v>14</v>
      </c>
      <c r="D167" t="s">
        <v>15</v>
      </c>
      <c r="E167">
        <v>95000</v>
      </c>
      <c r="F167" t="s">
        <v>16</v>
      </c>
      <c r="G167">
        <v>95000</v>
      </c>
      <c r="H167" t="s">
        <v>17</v>
      </c>
      <c r="I167">
        <v>0</v>
      </c>
      <c r="J167" t="s">
        <v>17</v>
      </c>
      <c r="K167" t="s">
        <v>18</v>
      </c>
      <c r="L167" s="3">
        <f t="shared" si="4"/>
        <v>-11765.370944992945</v>
      </c>
      <c r="M167" s="3">
        <f t="shared" si="5"/>
        <v>138423953.47328418</v>
      </c>
    </row>
    <row r="168" spans="1:13" customFormat="1">
      <c r="A168">
        <v>2023</v>
      </c>
      <c r="B168" t="s">
        <v>13</v>
      </c>
      <c r="C168" t="s">
        <v>14</v>
      </c>
      <c r="D168" t="s">
        <v>15</v>
      </c>
      <c r="E168">
        <v>85500</v>
      </c>
      <c r="F168" t="s">
        <v>16</v>
      </c>
      <c r="G168">
        <v>85500</v>
      </c>
      <c r="H168" t="s">
        <v>17</v>
      </c>
      <c r="I168">
        <v>0</v>
      </c>
      <c r="J168" t="s">
        <v>17</v>
      </c>
      <c r="K168" t="s">
        <v>18</v>
      </c>
      <c r="L168" s="3">
        <f t="shared" si="4"/>
        <v>-21265.370944992945</v>
      </c>
      <c r="M168" s="3">
        <f t="shared" si="5"/>
        <v>452216001.42815012</v>
      </c>
    </row>
    <row r="169" spans="1:13" customFormat="1">
      <c r="A169">
        <v>2023</v>
      </c>
      <c r="B169" t="s">
        <v>13</v>
      </c>
      <c r="C169" t="s">
        <v>14</v>
      </c>
      <c r="D169" t="s">
        <v>15</v>
      </c>
      <c r="E169">
        <v>185900</v>
      </c>
      <c r="F169" t="s">
        <v>16</v>
      </c>
      <c r="G169">
        <v>185900</v>
      </c>
      <c r="H169" t="s">
        <v>17</v>
      </c>
      <c r="I169">
        <v>0</v>
      </c>
      <c r="J169" t="s">
        <v>17</v>
      </c>
      <c r="K169" t="s">
        <v>18</v>
      </c>
      <c r="L169" s="3">
        <f t="shared" si="4"/>
        <v>79134.629055007055</v>
      </c>
      <c r="M169" s="3">
        <f t="shared" si="5"/>
        <v>6262289515.6735668</v>
      </c>
    </row>
    <row r="170" spans="1:13" customFormat="1">
      <c r="A170">
        <v>2023</v>
      </c>
      <c r="B170" t="s">
        <v>13</v>
      </c>
      <c r="C170" t="s">
        <v>14</v>
      </c>
      <c r="D170" t="s">
        <v>15</v>
      </c>
      <c r="E170">
        <v>121700</v>
      </c>
      <c r="F170" t="s">
        <v>16</v>
      </c>
      <c r="G170">
        <v>121700</v>
      </c>
      <c r="H170" t="s">
        <v>17</v>
      </c>
      <c r="I170">
        <v>0</v>
      </c>
      <c r="J170" t="s">
        <v>17</v>
      </c>
      <c r="K170" t="s">
        <v>18</v>
      </c>
      <c r="L170" s="3">
        <f t="shared" si="4"/>
        <v>14934.629055007055</v>
      </c>
      <c r="M170" s="3">
        <f t="shared" si="5"/>
        <v>223043145.01066092</v>
      </c>
    </row>
    <row r="171" spans="1:13" customFormat="1">
      <c r="A171">
        <v>2023</v>
      </c>
      <c r="B171" t="s">
        <v>13</v>
      </c>
      <c r="C171" t="s">
        <v>14</v>
      </c>
      <c r="D171" t="s">
        <v>15</v>
      </c>
      <c r="E171">
        <v>120000</v>
      </c>
      <c r="F171" t="s">
        <v>16</v>
      </c>
      <c r="G171">
        <v>120000</v>
      </c>
      <c r="H171" t="s">
        <v>17</v>
      </c>
      <c r="I171">
        <v>100</v>
      </c>
      <c r="J171" t="s">
        <v>17</v>
      </c>
      <c r="K171" t="s">
        <v>18</v>
      </c>
      <c r="L171" s="3">
        <f t="shared" si="4"/>
        <v>13234.629055007055</v>
      </c>
      <c r="M171" s="3">
        <f t="shared" si="5"/>
        <v>175155406.22363696</v>
      </c>
    </row>
    <row r="172" spans="1:13" customFormat="1">
      <c r="A172">
        <v>2023</v>
      </c>
      <c r="B172" t="s">
        <v>13</v>
      </c>
      <c r="C172" t="s">
        <v>14</v>
      </c>
      <c r="D172" t="s">
        <v>15</v>
      </c>
      <c r="E172">
        <v>75000</v>
      </c>
      <c r="F172" t="s">
        <v>16</v>
      </c>
      <c r="G172">
        <v>75000</v>
      </c>
      <c r="H172" t="s">
        <v>17</v>
      </c>
      <c r="I172">
        <v>100</v>
      </c>
      <c r="J172" t="s">
        <v>17</v>
      </c>
      <c r="K172" t="s">
        <v>18</v>
      </c>
      <c r="L172" s="3">
        <f t="shared" si="4"/>
        <v>-31765.370944992945</v>
      </c>
      <c r="M172" s="3">
        <f t="shared" si="5"/>
        <v>1009038791.2730019</v>
      </c>
    </row>
    <row r="173" spans="1:13" customFormat="1">
      <c r="A173">
        <v>2023</v>
      </c>
      <c r="B173" t="s">
        <v>19</v>
      </c>
      <c r="C173" t="s">
        <v>14</v>
      </c>
      <c r="D173" t="s">
        <v>15</v>
      </c>
      <c r="E173">
        <v>65000</v>
      </c>
      <c r="F173" t="s">
        <v>41</v>
      </c>
      <c r="G173">
        <v>78990</v>
      </c>
      <c r="H173" t="s">
        <v>42</v>
      </c>
      <c r="I173">
        <v>100</v>
      </c>
      <c r="J173" t="s">
        <v>42</v>
      </c>
      <c r="K173" t="s">
        <v>18</v>
      </c>
      <c r="L173" s="3">
        <f t="shared" si="4"/>
        <v>-27775.370944992945</v>
      </c>
      <c r="M173" s="3">
        <f t="shared" si="5"/>
        <v>771471231.13195825</v>
      </c>
    </row>
    <row r="174" spans="1:13" customFormat="1">
      <c r="A174">
        <v>2023</v>
      </c>
      <c r="B174" t="s">
        <v>19</v>
      </c>
      <c r="C174" t="s">
        <v>14</v>
      </c>
      <c r="D174" t="s">
        <v>15</v>
      </c>
      <c r="E174">
        <v>36050</v>
      </c>
      <c r="F174" t="s">
        <v>41</v>
      </c>
      <c r="G174">
        <v>43809</v>
      </c>
      <c r="H174" t="s">
        <v>42</v>
      </c>
      <c r="I174">
        <v>100</v>
      </c>
      <c r="J174" t="s">
        <v>42</v>
      </c>
      <c r="K174" t="s">
        <v>18</v>
      </c>
      <c r="L174" s="3">
        <f t="shared" si="4"/>
        <v>-62956.370944992945</v>
      </c>
      <c r="M174" s="3">
        <f t="shared" si="5"/>
        <v>3963504642.5635519</v>
      </c>
    </row>
    <row r="175" spans="1:13" customFormat="1">
      <c r="A175">
        <v>2023</v>
      </c>
      <c r="B175" t="s">
        <v>13</v>
      </c>
      <c r="C175" t="s">
        <v>14</v>
      </c>
      <c r="D175" t="s">
        <v>15</v>
      </c>
      <c r="E175">
        <v>180000</v>
      </c>
      <c r="F175" t="s">
        <v>16</v>
      </c>
      <c r="G175">
        <v>180000</v>
      </c>
      <c r="H175" t="s">
        <v>17</v>
      </c>
      <c r="I175">
        <v>0</v>
      </c>
      <c r="J175" t="s">
        <v>17</v>
      </c>
      <c r="K175" t="s">
        <v>18</v>
      </c>
      <c r="L175" s="3">
        <f t="shared" si="4"/>
        <v>73234.629055007055</v>
      </c>
      <c r="M175" s="3">
        <f t="shared" si="5"/>
        <v>5363310892.8244839</v>
      </c>
    </row>
    <row r="176" spans="1:13" customFormat="1">
      <c r="A176">
        <v>2023</v>
      </c>
      <c r="B176" t="s">
        <v>13</v>
      </c>
      <c r="C176" t="s">
        <v>14</v>
      </c>
      <c r="D176" t="s">
        <v>15</v>
      </c>
      <c r="E176">
        <v>110000</v>
      </c>
      <c r="F176" t="s">
        <v>16</v>
      </c>
      <c r="G176">
        <v>110000</v>
      </c>
      <c r="H176" t="s">
        <v>17</v>
      </c>
      <c r="I176">
        <v>0</v>
      </c>
      <c r="J176" t="s">
        <v>17</v>
      </c>
      <c r="K176" t="s">
        <v>18</v>
      </c>
      <c r="L176" s="3">
        <f t="shared" si="4"/>
        <v>3234.6290550070553</v>
      </c>
      <c r="M176" s="3">
        <f t="shared" si="5"/>
        <v>10462825.123495836</v>
      </c>
    </row>
    <row r="177" spans="1:13" customFormat="1">
      <c r="A177">
        <v>2023</v>
      </c>
      <c r="B177" t="s">
        <v>28</v>
      </c>
      <c r="C177" t="s">
        <v>14</v>
      </c>
      <c r="D177" t="s">
        <v>15</v>
      </c>
      <c r="E177">
        <v>85000</v>
      </c>
      <c r="F177" t="s">
        <v>16</v>
      </c>
      <c r="G177">
        <v>85000</v>
      </c>
      <c r="H177" t="s">
        <v>17</v>
      </c>
      <c r="I177">
        <v>100</v>
      </c>
      <c r="J177" t="s">
        <v>17</v>
      </c>
      <c r="K177" t="s">
        <v>18</v>
      </c>
      <c r="L177" s="3">
        <f t="shared" si="4"/>
        <v>-21765.370944992945</v>
      </c>
      <c r="M177" s="3">
        <f t="shared" si="5"/>
        <v>473731372.37314308</v>
      </c>
    </row>
    <row r="178" spans="1:13" customFormat="1">
      <c r="A178">
        <v>2023</v>
      </c>
      <c r="B178" t="s">
        <v>28</v>
      </c>
      <c r="C178" t="s">
        <v>14</v>
      </c>
      <c r="D178" t="s">
        <v>15</v>
      </c>
      <c r="E178">
        <v>75000</v>
      </c>
      <c r="F178" t="s">
        <v>16</v>
      </c>
      <c r="G178">
        <v>75000</v>
      </c>
      <c r="H178" t="s">
        <v>17</v>
      </c>
      <c r="I178">
        <v>100</v>
      </c>
      <c r="J178" t="s">
        <v>17</v>
      </c>
      <c r="K178" t="s">
        <v>18</v>
      </c>
      <c r="L178" s="3">
        <f t="shared" si="4"/>
        <v>-31765.370944992945</v>
      </c>
      <c r="M178" s="3">
        <f t="shared" si="5"/>
        <v>1009038791.2730019</v>
      </c>
    </row>
    <row r="179" spans="1:13" customFormat="1">
      <c r="A179">
        <v>2023</v>
      </c>
      <c r="B179" t="s">
        <v>13</v>
      </c>
      <c r="C179" t="s">
        <v>14</v>
      </c>
      <c r="D179" t="s">
        <v>15</v>
      </c>
      <c r="E179">
        <v>145000</v>
      </c>
      <c r="F179" t="s">
        <v>16</v>
      </c>
      <c r="G179">
        <v>145000</v>
      </c>
      <c r="H179" t="s">
        <v>17</v>
      </c>
      <c r="I179">
        <v>100</v>
      </c>
      <c r="J179" t="s">
        <v>17</v>
      </c>
      <c r="K179" t="s">
        <v>18</v>
      </c>
      <c r="L179" s="3">
        <f t="shared" si="4"/>
        <v>38234.629055007055</v>
      </c>
      <c r="M179" s="3">
        <f t="shared" si="5"/>
        <v>1461886858.9739897</v>
      </c>
    </row>
    <row r="180" spans="1:13" customFormat="1">
      <c r="A180">
        <v>2023</v>
      </c>
      <c r="B180" t="s">
        <v>13</v>
      </c>
      <c r="C180" t="s">
        <v>14</v>
      </c>
      <c r="D180" t="s">
        <v>15</v>
      </c>
      <c r="E180">
        <v>90000</v>
      </c>
      <c r="F180" t="s">
        <v>16</v>
      </c>
      <c r="G180">
        <v>90000</v>
      </c>
      <c r="H180" t="s">
        <v>17</v>
      </c>
      <c r="I180">
        <v>100</v>
      </c>
      <c r="J180" t="s">
        <v>17</v>
      </c>
      <c r="K180" t="s">
        <v>18</v>
      </c>
      <c r="L180" s="3">
        <f t="shared" si="4"/>
        <v>-16765.370944992945</v>
      </c>
      <c r="M180" s="3">
        <f t="shared" si="5"/>
        <v>281077662.9232136</v>
      </c>
    </row>
    <row r="181" spans="1:13" customFormat="1">
      <c r="A181">
        <v>2023</v>
      </c>
      <c r="B181" t="s">
        <v>13</v>
      </c>
      <c r="C181" t="s">
        <v>14</v>
      </c>
      <c r="D181" t="s">
        <v>15</v>
      </c>
      <c r="E181">
        <v>95000</v>
      </c>
      <c r="F181" t="s">
        <v>16</v>
      </c>
      <c r="G181">
        <v>95000</v>
      </c>
      <c r="H181" t="s">
        <v>17</v>
      </c>
      <c r="I181">
        <v>0</v>
      </c>
      <c r="J181" t="s">
        <v>17</v>
      </c>
      <c r="K181" t="s">
        <v>18</v>
      </c>
      <c r="L181" s="3">
        <f t="shared" si="4"/>
        <v>-11765.370944992945</v>
      </c>
      <c r="M181" s="3">
        <f t="shared" si="5"/>
        <v>138423953.47328418</v>
      </c>
    </row>
    <row r="182" spans="1:13" customFormat="1">
      <c r="A182">
        <v>2023</v>
      </c>
      <c r="B182" t="s">
        <v>13</v>
      </c>
      <c r="C182" t="s">
        <v>14</v>
      </c>
      <c r="D182" t="s">
        <v>15</v>
      </c>
      <c r="E182">
        <v>85500</v>
      </c>
      <c r="F182" t="s">
        <v>16</v>
      </c>
      <c r="G182">
        <v>85500</v>
      </c>
      <c r="H182" t="s">
        <v>17</v>
      </c>
      <c r="I182">
        <v>0</v>
      </c>
      <c r="J182" t="s">
        <v>17</v>
      </c>
      <c r="K182" t="s">
        <v>18</v>
      </c>
      <c r="L182" s="3">
        <f t="shared" si="4"/>
        <v>-21265.370944992945</v>
      </c>
      <c r="M182" s="3">
        <f t="shared" si="5"/>
        <v>452216001.42815012</v>
      </c>
    </row>
    <row r="183" spans="1:13" customFormat="1">
      <c r="A183">
        <v>2023</v>
      </c>
      <c r="B183" t="s">
        <v>19</v>
      </c>
      <c r="C183" t="s">
        <v>14</v>
      </c>
      <c r="D183" t="s">
        <v>36</v>
      </c>
      <c r="E183">
        <v>155000</v>
      </c>
      <c r="F183" t="s">
        <v>16</v>
      </c>
      <c r="G183">
        <v>155000</v>
      </c>
      <c r="H183" t="s">
        <v>17</v>
      </c>
      <c r="I183">
        <v>0</v>
      </c>
      <c r="J183" t="s">
        <v>17</v>
      </c>
      <c r="K183" t="s">
        <v>18</v>
      </c>
      <c r="L183" s="3">
        <f t="shared" si="4"/>
        <v>48234.629055007055</v>
      </c>
      <c r="M183" s="3">
        <f t="shared" si="5"/>
        <v>2326579440.074131</v>
      </c>
    </row>
    <row r="184" spans="1:13" customFormat="1">
      <c r="A184">
        <v>2023</v>
      </c>
      <c r="B184" t="s">
        <v>19</v>
      </c>
      <c r="C184" t="s">
        <v>14</v>
      </c>
      <c r="D184" t="s">
        <v>36</v>
      </c>
      <c r="E184">
        <v>140000</v>
      </c>
      <c r="F184" t="s">
        <v>16</v>
      </c>
      <c r="G184">
        <v>140000</v>
      </c>
      <c r="H184" t="s">
        <v>17</v>
      </c>
      <c r="I184">
        <v>0</v>
      </c>
      <c r="J184" t="s">
        <v>17</v>
      </c>
      <c r="K184" t="s">
        <v>18</v>
      </c>
      <c r="L184" s="3">
        <f t="shared" si="4"/>
        <v>33234.629055007055</v>
      </c>
      <c r="M184" s="3">
        <f t="shared" si="5"/>
        <v>1104540568.4239192</v>
      </c>
    </row>
    <row r="185" spans="1:13" customFormat="1">
      <c r="A185">
        <v>2023</v>
      </c>
      <c r="B185" t="s">
        <v>28</v>
      </c>
      <c r="C185" t="s">
        <v>14</v>
      </c>
      <c r="D185" t="s">
        <v>15</v>
      </c>
      <c r="E185">
        <v>30000</v>
      </c>
      <c r="F185" t="s">
        <v>16</v>
      </c>
      <c r="G185">
        <v>30000</v>
      </c>
      <c r="H185" t="s">
        <v>53</v>
      </c>
      <c r="I185">
        <v>50</v>
      </c>
      <c r="J185" t="s">
        <v>53</v>
      </c>
      <c r="K185" t="s">
        <v>18</v>
      </c>
      <c r="L185" s="3">
        <f t="shared" si="4"/>
        <v>-76765.370944992945</v>
      </c>
      <c r="M185" s="3">
        <f t="shared" si="5"/>
        <v>5892922176.3223667</v>
      </c>
    </row>
    <row r="186" spans="1:13" customFormat="1">
      <c r="A186">
        <v>2022</v>
      </c>
      <c r="B186" t="s">
        <v>28</v>
      </c>
      <c r="C186" t="s">
        <v>56</v>
      </c>
      <c r="D186" t="s">
        <v>15</v>
      </c>
      <c r="E186">
        <v>34320</v>
      </c>
      <c r="F186" t="s">
        <v>16</v>
      </c>
      <c r="G186">
        <v>34320</v>
      </c>
      <c r="H186" t="s">
        <v>17</v>
      </c>
      <c r="I186">
        <v>100</v>
      </c>
      <c r="J186" t="s">
        <v>17</v>
      </c>
      <c r="K186" t="s">
        <v>57</v>
      </c>
      <c r="L186" s="3">
        <f t="shared" si="4"/>
        <v>-72445.370944992945</v>
      </c>
      <c r="M186" s="3">
        <f t="shared" si="5"/>
        <v>5248331771.3576279</v>
      </c>
    </row>
    <row r="187" spans="1:13" customFormat="1">
      <c r="A187">
        <v>2022</v>
      </c>
      <c r="B187" t="s">
        <v>19</v>
      </c>
      <c r="C187" t="s">
        <v>14</v>
      </c>
      <c r="D187" t="s">
        <v>40</v>
      </c>
      <c r="E187">
        <v>48000</v>
      </c>
      <c r="F187" t="s">
        <v>58</v>
      </c>
      <c r="G187">
        <v>9289</v>
      </c>
      <c r="H187" t="s">
        <v>59</v>
      </c>
      <c r="I187">
        <v>100</v>
      </c>
      <c r="J187" t="s">
        <v>59</v>
      </c>
      <c r="K187" t="s">
        <v>18</v>
      </c>
      <c r="L187" s="3">
        <f t="shared" si="4"/>
        <v>-97476.370944992945</v>
      </c>
      <c r="M187" s="3">
        <f t="shared" si="5"/>
        <v>9501642892.6058655</v>
      </c>
    </row>
    <row r="188" spans="1:13" customFormat="1">
      <c r="A188">
        <v>2023</v>
      </c>
      <c r="B188" t="s">
        <v>13</v>
      </c>
      <c r="C188" t="s">
        <v>14</v>
      </c>
      <c r="D188" t="s">
        <v>15</v>
      </c>
      <c r="E188">
        <v>175000</v>
      </c>
      <c r="F188" t="s">
        <v>16</v>
      </c>
      <c r="G188">
        <v>175000</v>
      </c>
      <c r="H188" t="s">
        <v>17</v>
      </c>
      <c r="I188">
        <v>100</v>
      </c>
      <c r="J188" t="s">
        <v>17</v>
      </c>
      <c r="K188" t="s">
        <v>18</v>
      </c>
      <c r="L188" s="3">
        <f t="shared" si="4"/>
        <v>68234.629055007055</v>
      </c>
      <c r="M188" s="3">
        <f t="shared" si="5"/>
        <v>4655964602.2744131</v>
      </c>
    </row>
    <row r="189" spans="1:13" customFormat="1">
      <c r="A189">
        <v>2023</v>
      </c>
      <c r="B189" t="s">
        <v>13</v>
      </c>
      <c r="C189" t="s">
        <v>14</v>
      </c>
      <c r="D189" t="s">
        <v>15</v>
      </c>
      <c r="E189">
        <v>130000</v>
      </c>
      <c r="F189" t="s">
        <v>16</v>
      </c>
      <c r="G189">
        <v>130000</v>
      </c>
      <c r="H189" t="s">
        <v>17</v>
      </c>
      <c r="I189">
        <v>100</v>
      </c>
      <c r="J189" t="s">
        <v>17</v>
      </c>
      <c r="K189" t="s">
        <v>18</v>
      </c>
      <c r="L189" s="3">
        <f t="shared" si="4"/>
        <v>23234.629055007055</v>
      </c>
      <c r="M189" s="3">
        <f t="shared" si="5"/>
        <v>539847987.32377803</v>
      </c>
    </row>
    <row r="190" spans="1:13" customFormat="1">
      <c r="A190">
        <v>2023</v>
      </c>
      <c r="B190" t="s">
        <v>13</v>
      </c>
      <c r="C190" t="s">
        <v>14</v>
      </c>
      <c r="D190" t="s">
        <v>15</v>
      </c>
      <c r="E190">
        <v>122000</v>
      </c>
      <c r="F190" t="s">
        <v>16</v>
      </c>
      <c r="G190">
        <v>122000</v>
      </c>
      <c r="H190" t="s">
        <v>17</v>
      </c>
      <c r="I190">
        <v>100</v>
      </c>
      <c r="J190" t="s">
        <v>17</v>
      </c>
      <c r="K190" t="s">
        <v>18</v>
      </c>
      <c r="L190" s="3">
        <f t="shared" si="4"/>
        <v>15234.629055007055</v>
      </c>
      <c r="M190" s="3">
        <f t="shared" si="5"/>
        <v>232093922.44366518</v>
      </c>
    </row>
    <row r="191" spans="1:13" customFormat="1">
      <c r="A191">
        <v>2023</v>
      </c>
      <c r="B191" t="s">
        <v>13</v>
      </c>
      <c r="C191" t="s">
        <v>14</v>
      </c>
      <c r="D191" t="s">
        <v>15</v>
      </c>
      <c r="E191">
        <v>93800</v>
      </c>
      <c r="F191" t="s">
        <v>16</v>
      </c>
      <c r="G191">
        <v>93800</v>
      </c>
      <c r="H191" t="s">
        <v>17</v>
      </c>
      <c r="I191">
        <v>100</v>
      </c>
      <c r="J191" t="s">
        <v>17</v>
      </c>
      <c r="K191" t="s">
        <v>18</v>
      </c>
      <c r="L191" s="3">
        <f t="shared" si="4"/>
        <v>-12965.370944992945</v>
      </c>
      <c r="M191" s="3">
        <f t="shared" si="5"/>
        <v>168100843.74126723</v>
      </c>
    </row>
    <row r="192" spans="1:13" customFormat="1">
      <c r="A192">
        <v>2023</v>
      </c>
      <c r="B192" t="s">
        <v>13</v>
      </c>
      <c r="C192" t="s">
        <v>14</v>
      </c>
      <c r="D192" t="s">
        <v>15</v>
      </c>
      <c r="E192">
        <v>165000</v>
      </c>
      <c r="F192" t="s">
        <v>16</v>
      </c>
      <c r="G192">
        <v>165000</v>
      </c>
      <c r="H192" t="s">
        <v>17</v>
      </c>
      <c r="I192">
        <v>100</v>
      </c>
      <c r="J192" t="s">
        <v>17</v>
      </c>
      <c r="K192" t="s">
        <v>18</v>
      </c>
      <c r="L192" s="3">
        <f t="shared" si="4"/>
        <v>58234.629055007055</v>
      </c>
      <c r="M192" s="3">
        <f t="shared" si="5"/>
        <v>3391272021.1742721</v>
      </c>
    </row>
    <row r="193" spans="1:13" customFormat="1">
      <c r="A193">
        <v>2023</v>
      </c>
      <c r="B193" t="s">
        <v>13</v>
      </c>
      <c r="C193" t="s">
        <v>14</v>
      </c>
      <c r="D193" t="s">
        <v>15</v>
      </c>
      <c r="E193">
        <v>112000</v>
      </c>
      <c r="F193" t="s">
        <v>16</v>
      </c>
      <c r="G193">
        <v>112000</v>
      </c>
      <c r="H193" t="s">
        <v>17</v>
      </c>
      <c r="I193">
        <v>100</v>
      </c>
      <c r="J193" t="s">
        <v>17</v>
      </c>
      <c r="K193" t="s">
        <v>18</v>
      </c>
      <c r="L193" s="3">
        <f t="shared" si="4"/>
        <v>5234.6290550070553</v>
      </c>
      <c r="M193" s="3">
        <f t="shared" si="5"/>
        <v>27401341.343524057</v>
      </c>
    </row>
    <row r="194" spans="1:13" customFormat="1">
      <c r="A194">
        <v>2023</v>
      </c>
      <c r="B194" t="s">
        <v>13</v>
      </c>
      <c r="C194" t="s">
        <v>14</v>
      </c>
      <c r="D194" t="s">
        <v>60</v>
      </c>
      <c r="E194">
        <v>67000</v>
      </c>
      <c r="F194" t="s">
        <v>49</v>
      </c>
      <c r="G194">
        <v>71897</v>
      </c>
      <c r="H194" t="s">
        <v>61</v>
      </c>
      <c r="I194">
        <v>100</v>
      </c>
      <c r="J194" t="s">
        <v>61</v>
      </c>
      <c r="K194" t="s">
        <v>18</v>
      </c>
      <c r="L194" s="3">
        <f t="shared" si="4"/>
        <v>-34868.370944992945</v>
      </c>
      <c r="M194" s="3">
        <f t="shared" si="5"/>
        <v>1215803292.3576281</v>
      </c>
    </row>
    <row r="195" spans="1:13" customFormat="1">
      <c r="A195">
        <v>2023</v>
      </c>
      <c r="B195" t="s">
        <v>13</v>
      </c>
      <c r="C195" t="s">
        <v>14</v>
      </c>
      <c r="D195" t="s">
        <v>15</v>
      </c>
      <c r="E195">
        <v>1300000</v>
      </c>
      <c r="F195" t="s">
        <v>52</v>
      </c>
      <c r="G195">
        <v>15806</v>
      </c>
      <c r="H195" t="s">
        <v>53</v>
      </c>
      <c r="I195">
        <v>100</v>
      </c>
      <c r="J195" t="s">
        <v>53</v>
      </c>
      <c r="K195" t="s">
        <v>57</v>
      </c>
      <c r="L195" s="3">
        <f t="shared" ref="L195:L258" si="6">G195-$P$5</f>
        <v>-90959.370944992945</v>
      </c>
      <c r="M195" s="3">
        <f t="shared" ref="M195:M258" si="7">L195^2</f>
        <v>8273607162.708827</v>
      </c>
    </row>
    <row r="196" spans="1:13" customFormat="1">
      <c r="A196">
        <v>2023</v>
      </c>
      <c r="B196" t="s">
        <v>13</v>
      </c>
      <c r="C196" t="s">
        <v>14</v>
      </c>
      <c r="D196" t="s">
        <v>15</v>
      </c>
      <c r="E196">
        <v>185900</v>
      </c>
      <c r="F196" t="s">
        <v>16</v>
      </c>
      <c r="G196">
        <v>185900</v>
      </c>
      <c r="H196" t="s">
        <v>17</v>
      </c>
      <c r="I196">
        <v>0</v>
      </c>
      <c r="J196" t="s">
        <v>17</v>
      </c>
      <c r="K196" t="s">
        <v>18</v>
      </c>
      <c r="L196" s="3">
        <f t="shared" si="6"/>
        <v>79134.629055007055</v>
      </c>
      <c r="M196" s="3">
        <f t="shared" si="7"/>
        <v>6262289515.6735668</v>
      </c>
    </row>
    <row r="197" spans="1:13" customFormat="1">
      <c r="A197">
        <v>2023</v>
      </c>
      <c r="B197" t="s">
        <v>13</v>
      </c>
      <c r="C197" t="s">
        <v>14</v>
      </c>
      <c r="D197" t="s">
        <v>15</v>
      </c>
      <c r="E197">
        <v>121700</v>
      </c>
      <c r="F197" t="s">
        <v>16</v>
      </c>
      <c r="G197">
        <v>121700</v>
      </c>
      <c r="H197" t="s">
        <v>17</v>
      </c>
      <c r="I197">
        <v>0</v>
      </c>
      <c r="J197" t="s">
        <v>17</v>
      </c>
      <c r="K197" t="s">
        <v>18</v>
      </c>
      <c r="L197" s="3">
        <f t="shared" si="6"/>
        <v>14934.629055007055</v>
      </c>
      <c r="M197" s="3">
        <f t="shared" si="7"/>
        <v>223043145.01066092</v>
      </c>
    </row>
    <row r="198" spans="1:13" customFormat="1">
      <c r="A198">
        <v>2023</v>
      </c>
      <c r="B198" t="s">
        <v>13</v>
      </c>
      <c r="C198" t="s">
        <v>14</v>
      </c>
      <c r="D198" t="s">
        <v>15</v>
      </c>
      <c r="E198">
        <v>180180</v>
      </c>
      <c r="F198" t="s">
        <v>16</v>
      </c>
      <c r="G198">
        <v>180180</v>
      </c>
      <c r="H198" t="s">
        <v>17</v>
      </c>
      <c r="I198">
        <v>0</v>
      </c>
      <c r="J198" t="s">
        <v>17</v>
      </c>
      <c r="K198" t="s">
        <v>18</v>
      </c>
      <c r="L198" s="3">
        <f t="shared" si="6"/>
        <v>73414.629055007055</v>
      </c>
      <c r="M198" s="3">
        <f t="shared" si="7"/>
        <v>5389707759.2842865</v>
      </c>
    </row>
    <row r="199" spans="1:13" customFormat="1">
      <c r="A199">
        <v>2023</v>
      </c>
      <c r="B199" t="s">
        <v>13</v>
      </c>
      <c r="C199" t="s">
        <v>14</v>
      </c>
      <c r="D199" t="s">
        <v>15</v>
      </c>
      <c r="E199">
        <v>106020</v>
      </c>
      <c r="F199" t="s">
        <v>16</v>
      </c>
      <c r="G199">
        <v>106020</v>
      </c>
      <c r="H199" t="s">
        <v>17</v>
      </c>
      <c r="I199">
        <v>0</v>
      </c>
      <c r="J199" t="s">
        <v>17</v>
      </c>
      <c r="K199" t="s">
        <v>18</v>
      </c>
      <c r="L199" s="3">
        <f t="shared" si="6"/>
        <v>-745.37094499294471</v>
      </c>
      <c r="M199" s="3">
        <f t="shared" si="7"/>
        <v>555577.84563967539</v>
      </c>
    </row>
    <row r="200" spans="1:13" customFormat="1">
      <c r="A200">
        <v>2023</v>
      </c>
      <c r="B200" t="s">
        <v>13</v>
      </c>
      <c r="C200" t="s">
        <v>14</v>
      </c>
      <c r="D200" t="s">
        <v>15</v>
      </c>
      <c r="E200">
        <v>125000</v>
      </c>
      <c r="F200" t="s">
        <v>16</v>
      </c>
      <c r="G200">
        <v>125000</v>
      </c>
      <c r="H200" t="s">
        <v>17</v>
      </c>
      <c r="I200">
        <v>0</v>
      </c>
      <c r="J200" t="s">
        <v>17</v>
      </c>
      <c r="K200" t="s">
        <v>18</v>
      </c>
      <c r="L200" s="3">
        <f t="shared" si="6"/>
        <v>18234.629055007055</v>
      </c>
      <c r="M200" s="3">
        <f t="shared" si="7"/>
        <v>332501696.77370751</v>
      </c>
    </row>
    <row r="201" spans="1:13" customFormat="1">
      <c r="A201">
        <v>2023</v>
      </c>
      <c r="B201" t="s">
        <v>13</v>
      </c>
      <c r="C201" t="s">
        <v>14</v>
      </c>
      <c r="D201" t="s">
        <v>15</v>
      </c>
      <c r="E201">
        <v>110000</v>
      </c>
      <c r="F201" t="s">
        <v>16</v>
      </c>
      <c r="G201">
        <v>110000</v>
      </c>
      <c r="H201" t="s">
        <v>17</v>
      </c>
      <c r="I201">
        <v>0</v>
      </c>
      <c r="J201" t="s">
        <v>17</v>
      </c>
      <c r="K201" t="s">
        <v>18</v>
      </c>
      <c r="L201" s="3">
        <f t="shared" si="6"/>
        <v>3234.6290550070553</v>
      </c>
      <c r="M201" s="3">
        <f t="shared" si="7"/>
        <v>10462825.123495836</v>
      </c>
    </row>
    <row r="202" spans="1:13" customFormat="1">
      <c r="A202">
        <v>2023</v>
      </c>
      <c r="B202" t="s">
        <v>13</v>
      </c>
      <c r="C202" t="s">
        <v>14</v>
      </c>
      <c r="D202" t="s">
        <v>15</v>
      </c>
      <c r="E202">
        <v>152380</v>
      </c>
      <c r="F202" t="s">
        <v>16</v>
      </c>
      <c r="G202">
        <v>152380</v>
      </c>
      <c r="H202" t="s">
        <v>17</v>
      </c>
      <c r="I202">
        <v>0</v>
      </c>
      <c r="J202" t="s">
        <v>17</v>
      </c>
      <c r="K202" t="s">
        <v>18</v>
      </c>
      <c r="L202" s="3">
        <f t="shared" si="6"/>
        <v>45614.629055007055</v>
      </c>
      <c r="M202" s="3">
        <f t="shared" si="7"/>
        <v>2080694383.8258939</v>
      </c>
    </row>
    <row r="203" spans="1:13" customFormat="1">
      <c r="A203">
        <v>2023</v>
      </c>
      <c r="B203" t="s">
        <v>13</v>
      </c>
      <c r="C203" t="s">
        <v>14</v>
      </c>
      <c r="D203" t="s">
        <v>15</v>
      </c>
      <c r="E203">
        <v>121904</v>
      </c>
      <c r="F203" t="s">
        <v>16</v>
      </c>
      <c r="G203">
        <v>121904</v>
      </c>
      <c r="H203" t="s">
        <v>17</v>
      </c>
      <c r="I203">
        <v>0</v>
      </c>
      <c r="J203" t="s">
        <v>17</v>
      </c>
      <c r="K203" t="s">
        <v>18</v>
      </c>
      <c r="L203" s="3">
        <f t="shared" si="6"/>
        <v>15138.629055007055</v>
      </c>
      <c r="M203" s="3">
        <f t="shared" si="7"/>
        <v>229178089.66510379</v>
      </c>
    </row>
    <row r="204" spans="1:13" customFormat="1">
      <c r="A204">
        <v>2023</v>
      </c>
      <c r="B204" t="s">
        <v>13</v>
      </c>
      <c r="C204" t="s">
        <v>14</v>
      </c>
      <c r="D204" t="s">
        <v>15</v>
      </c>
      <c r="E204">
        <v>170500</v>
      </c>
      <c r="F204" t="s">
        <v>16</v>
      </c>
      <c r="G204">
        <v>170500</v>
      </c>
      <c r="H204" t="s">
        <v>17</v>
      </c>
      <c r="I204">
        <v>100</v>
      </c>
      <c r="J204" t="s">
        <v>17</v>
      </c>
      <c r="K204" t="s">
        <v>18</v>
      </c>
      <c r="L204" s="3">
        <f t="shared" si="6"/>
        <v>63734.629055007055</v>
      </c>
      <c r="M204" s="3">
        <f t="shared" si="7"/>
        <v>4062102940.7793493</v>
      </c>
    </row>
    <row r="205" spans="1:13" customFormat="1">
      <c r="A205">
        <v>2023</v>
      </c>
      <c r="B205" t="s">
        <v>13</v>
      </c>
      <c r="C205" t="s">
        <v>14</v>
      </c>
      <c r="D205" t="s">
        <v>15</v>
      </c>
      <c r="E205">
        <v>85000</v>
      </c>
      <c r="F205" t="s">
        <v>16</v>
      </c>
      <c r="G205">
        <v>85000</v>
      </c>
      <c r="H205" t="s">
        <v>17</v>
      </c>
      <c r="I205">
        <v>100</v>
      </c>
      <c r="J205" t="s">
        <v>17</v>
      </c>
      <c r="K205" t="s">
        <v>18</v>
      </c>
      <c r="L205" s="3">
        <f t="shared" si="6"/>
        <v>-21765.370944992945</v>
      </c>
      <c r="M205" s="3">
        <f t="shared" si="7"/>
        <v>473731372.37314308</v>
      </c>
    </row>
    <row r="206" spans="1:13" customFormat="1">
      <c r="A206">
        <v>2023</v>
      </c>
      <c r="B206" t="s">
        <v>13</v>
      </c>
      <c r="C206" t="s">
        <v>14</v>
      </c>
      <c r="D206" t="s">
        <v>29</v>
      </c>
      <c r="E206">
        <v>72200</v>
      </c>
      <c r="F206" t="s">
        <v>16</v>
      </c>
      <c r="G206">
        <v>72200</v>
      </c>
      <c r="H206" t="s">
        <v>17</v>
      </c>
      <c r="I206">
        <v>0</v>
      </c>
      <c r="J206" t="s">
        <v>17</v>
      </c>
      <c r="K206" t="s">
        <v>18</v>
      </c>
      <c r="L206" s="3">
        <f t="shared" si="6"/>
        <v>-34565.370944992945</v>
      </c>
      <c r="M206" s="3">
        <f t="shared" si="7"/>
        <v>1194764868.5649624</v>
      </c>
    </row>
    <row r="207" spans="1:13" customFormat="1">
      <c r="A207">
        <v>2023</v>
      </c>
      <c r="B207" t="s">
        <v>13</v>
      </c>
      <c r="C207" t="s">
        <v>14</v>
      </c>
      <c r="D207" t="s">
        <v>29</v>
      </c>
      <c r="E207">
        <v>64980</v>
      </c>
      <c r="F207" t="s">
        <v>16</v>
      </c>
      <c r="G207">
        <v>64980</v>
      </c>
      <c r="H207" t="s">
        <v>17</v>
      </c>
      <c r="I207">
        <v>0</v>
      </c>
      <c r="J207" t="s">
        <v>17</v>
      </c>
      <c r="K207" t="s">
        <v>18</v>
      </c>
      <c r="L207" s="3">
        <f t="shared" si="6"/>
        <v>-41785.370944992945</v>
      </c>
      <c r="M207" s="3">
        <f t="shared" si="7"/>
        <v>1746017225.0106606</v>
      </c>
    </row>
    <row r="208" spans="1:13" customFormat="1">
      <c r="A208">
        <v>2023</v>
      </c>
      <c r="B208" t="s">
        <v>13</v>
      </c>
      <c r="C208" t="s">
        <v>14</v>
      </c>
      <c r="D208" t="s">
        <v>15</v>
      </c>
      <c r="E208">
        <v>179975</v>
      </c>
      <c r="F208" t="s">
        <v>16</v>
      </c>
      <c r="G208">
        <v>179975</v>
      </c>
      <c r="H208" t="s">
        <v>17</v>
      </c>
      <c r="I208">
        <v>100</v>
      </c>
      <c r="J208" t="s">
        <v>17</v>
      </c>
      <c r="K208" t="s">
        <v>18</v>
      </c>
      <c r="L208" s="3">
        <f t="shared" si="6"/>
        <v>73209.629055007055</v>
      </c>
      <c r="M208" s="3">
        <f t="shared" si="7"/>
        <v>5359649786.3717337</v>
      </c>
    </row>
    <row r="209" spans="1:13" customFormat="1">
      <c r="A209">
        <v>2023</v>
      </c>
      <c r="B209" t="s">
        <v>13</v>
      </c>
      <c r="C209" t="s">
        <v>14</v>
      </c>
      <c r="D209" t="s">
        <v>15</v>
      </c>
      <c r="E209">
        <v>86466</v>
      </c>
      <c r="F209" t="s">
        <v>16</v>
      </c>
      <c r="G209">
        <v>86466</v>
      </c>
      <c r="H209" t="s">
        <v>17</v>
      </c>
      <c r="I209">
        <v>100</v>
      </c>
      <c r="J209" t="s">
        <v>17</v>
      </c>
      <c r="K209" t="s">
        <v>18</v>
      </c>
      <c r="L209" s="3">
        <f t="shared" si="6"/>
        <v>-20299.370944992945</v>
      </c>
      <c r="M209" s="3">
        <f t="shared" si="7"/>
        <v>412064460.76242375</v>
      </c>
    </row>
    <row r="210" spans="1:13" customFormat="1">
      <c r="A210">
        <v>2023</v>
      </c>
      <c r="B210" t="s">
        <v>19</v>
      </c>
      <c r="C210" t="s">
        <v>14</v>
      </c>
      <c r="D210" t="s">
        <v>62</v>
      </c>
      <c r="E210">
        <v>42000</v>
      </c>
      <c r="F210" t="s">
        <v>41</v>
      </c>
      <c r="G210">
        <v>51039</v>
      </c>
      <c r="H210" t="s">
        <v>42</v>
      </c>
      <c r="I210">
        <v>0</v>
      </c>
      <c r="J210" t="s">
        <v>42</v>
      </c>
      <c r="K210" t="s">
        <v>18</v>
      </c>
      <c r="L210" s="3">
        <f t="shared" si="6"/>
        <v>-55726.370944992945</v>
      </c>
      <c r="M210" s="3">
        <f t="shared" si="7"/>
        <v>3105428418.6989536</v>
      </c>
    </row>
    <row r="211" spans="1:13" customFormat="1">
      <c r="A211">
        <v>2023</v>
      </c>
      <c r="B211" t="s">
        <v>19</v>
      </c>
      <c r="C211" t="s">
        <v>14</v>
      </c>
      <c r="D211" t="s">
        <v>62</v>
      </c>
      <c r="E211">
        <v>35000</v>
      </c>
      <c r="F211" t="s">
        <v>41</v>
      </c>
      <c r="G211">
        <v>42533</v>
      </c>
      <c r="H211" t="s">
        <v>42</v>
      </c>
      <c r="I211">
        <v>0</v>
      </c>
      <c r="J211" t="s">
        <v>42</v>
      </c>
      <c r="K211" t="s">
        <v>18</v>
      </c>
      <c r="L211" s="3">
        <f t="shared" si="6"/>
        <v>-64232.370944992945</v>
      </c>
      <c r="M211" s="3">
        <f t="shared" si="7"/>
        <v>4125797477.2151737</v>
      </c>
    </row>
    <row r="212" spans="1:13" customFormat="1">
      <c r="A212">
        <v>2023</v>
      </c>
      <c r="B212" t="s">
        <v>13</v>
      </c>
      <c r="C212" t="s">
        <v>14</v>
      </c>
      <c r="D212" t="s">
        <v>15</v>
      </c>
      <c r="E212">
        <v>169000</v>
      </c>
      <c r="F212" t="s">
        <v>16</v>
      </c>
      <c r="G212">
        <v>169000</v>
      </c>
      <c r="H212" t="s">
        <v>17</v>
      </c>
      <c r="I212">
        <v>0</v>
      </c>
      <c r="J212" t="s">
        <v>17</v>
      </c>
      <c r="K212" t="s">
        <v>18</v>
      </c>
      <c r="L212" s="3">
        <f t="shared" si="6"/>
        <v>62234.629055007055</v>
      </c>
      <c r="M212" s="3">
        <f t="shared" si="7"/>
        <v>3873149053.6143284</v>
      </c>
    </row>
    <row r="213" spans="1:13" customFormat="1">
      <c r="A213">
        <v>2023</v>
      </c>
      <c r="B213" t="s">
        <v>13</v>
      </c>
      <c r="C213" t="s">
        <v>14</v>
      </c>
      <c r="D213" t="s">
        <v>15</v>
      </c>
      <c r="E213">
        <v>110600</v>
      </c>
      <c r="F213" t="s">
        <v>16</v>
      </c>
      <c r="G213">
        <v>110600</v>
      </c>
      <c r="H213" t="s">
        <v>17</v>
      </c>
      <c r="I213">
        <v>0</v>
      </c>
      <c r="J213" t="s">
        <v>17</v>
      </c>
      <c r="K213" t="s">
        <v>18</v>
      </c>
      <c r="L213" s="3">
        <f t="shared" si="6"/>
        <v>3834.6290550070553</v>
      </c>
      <c r="M213" s="3">
        <f t="shared" si="7"/>
        <v>14704379.989504302</v>
      </c>
    </row>
    <row r="214" spans="1:13" customFormat="1">
      <c r="A214">
        <v>2023</v>
      </c>
      <c r="B214" t="s">
        <v>13</v>
      </c>
      <c r="C214" t="s">
        <v>14</v>
      </c>
      <c r="D214" t="s">
        <v>15</v>
      </c>
      <c r="E214">
        <v>230000</v>
      </c>
      <c r="F214" t="s">
        <v>16</v>
      </c>
      <c r="G214">
        <v>230000</v>
      </c>
      <c r="H214" t="s">
        <v>17</v>
      </c>
      <c r="I214">
        <v>0</v>
      </c>
      <c r="J214" t="s">
        <v>17</v>
      </c>
      <c r="K214" t="s">
        <v>18</v>
      </c>
      <c r="L214" s="3">
        <f t="shared" si="6"/>
        <v>123234.62905500706</v>
      </c>
      <c r="M214" s="3">
        <f t="shared" si="7"/>
        <v>15186773798.32519</v>
      </c>
    </row>
    <row r="215" spans="1:13" customFormat="1">
      <c r="A215">
        <v>2023</v>
      </c>
      <c r="B215" t="s">
        <v>13</v>
      </c>
      <c r="C215" t="s">
        <v>14</v>
      </c>
      <c r="D215" t="s">
        <v>15</v>
      </c>
      <c r="E215">
        <v>180000</v>
      </c>
      <c r="F215" t="s">
        <v>16</v>
      </c>
      <c r="G215">
        <v>180000</v>
      </c>
      <c r="H215" t="s">
        <v>17</v>
      </c>
      <c r="I215">
        <v>0</v>
      </c>
      <c r="J215" t="s">
        <v>17</v>
      </c>
      <c r="K215" t="s">
        <v>18</v>
      </c>
      <c r="L215" s="3">
        <f t="shared" si="6"/>
        <v>73234.629055007055</v>
      </c>
      <c r="M215" s="3">
        <f t="shared" si="7"/>
        <v>5363310892.8244839</v>
      </c>
    </row>
    <row r="216" spans="1:13" customFormat="1">
      <c r="A216">
        <v>2023</v>
      </c>
      <c r="B216" t="s">
        <v>13</v>
      </c>
      <c r="C216" t="s">
        <v>14</v>
      </c>
      <c r="D216" t="s">
        <v>15</v>
      </c>
      <c r="E216">
        <v>153600</v>
      </c>
      <c r="F216" t="s">
        <v>16</v>
      </c>
      <c r="G216">
        <v>153600</v>
      </c>
      <c r="H216" t="s">
        <v>17</v>
      </c>
      <c r="I216">
        <v>0</v>
      </c>
      <c r="J216" t="s">
        <v>17</v>
      </c>
      <c r="K216" t="s">
        <v>18</v>
      </c>
      <c r="L216" s="3">
        <f t="shared" si="6"/>
        <v>46834.629055007055</v>
      </c>
      <c r="M216" s="3">
        <f t="shared" si="7"/>
        <v>2193482478.7201109</v>
      </c>
    </row>
    <row r="217" spans="1:13" customFormat="1">
      <c r="A217">
        <v>2023</v>
      </c>
      <c r="B217" t="s">
        <v>13</v>
      </c>
      <c r="C217" t="s">
        <v>14</v>
      </c>
      <c r="D217" t="s">
        <v>15</v>
      </c>
      <c r="E217">
        <v>106800</v>
      </c>
      <c r="F217" t="s">
        <v>16</v>
      </c>
      <c r="G217">
        <v>106800</v>
      </c>
      <c r="H217" t="s">
        <v>17</v>
      </c>
      <c r="I217">
        <v>0</v>
      </c>
      <c r="J217" t="s">
        <v>17</v>
      </c>
      <c r="K217" t="s">
        <v>18</v>
      </c>
      <c r="L217" s="3">
        <f t="shared" si="6"/>
        <v>34.629055007055285</v>
      </c>
      <c r="M217" s="3">
        <f t="shared" si="7"/>
        <v>1199.1714506816606</v>
      </c>
    </row>
    <row r="218" spans="1:13" customFormat="1">
      <c r="A218">
        <v>2023</v>
      </c>
      <c r="B218" t="s">
        <v>13</v>
      </c>
      <c r="C218" t="s">
        <v>14</v>
      </c>
      <c r="D218" t="s">
        <v>15</v>
      </c>
      <c r="E218">
        <v>165000</v>
      </c>
      <c r="F218" t="s">
        <v>16</v>
      </c>
      <c r="G218">
        <v>165000</v>
      </c>
      <c r="H218" t="s">
        <v>17</v>
      </c>
      <c r="I218">
        <v>100</v>
      </c>
      <c r="J218" t="s">
        <v>17</v>
      </c>
      <c r="K218" t="s">
        <v>18</v>
      </c>
      <c r="L218" s="3">
        <f t="shared" si="6"/>
        <v>58234.629055007055</v>
      </c>
      <c r="M218" s="3">
        <f t="shared" si="7"/>
        <v>3391272021.1742721</v>
      </c>
    </row>
    <row r="219" spans="1:13" customFormat="1">
      <c r="A219">
        <v>2023</v>
      </c>
      <c r="B219" t="s">
        <v>13</v>
      </c>
      <c r="C219" t="s">
        <v>14</v>
      </c>
      <c r="D219" t="s">
        <v>15</v>
      </c>
      <c r="E219">
        <v>125000</v>
      </c>
      <c r="F219" t="s">
        <v>16</v>
      </c>
      <c r="G219">
        <v>125000</v>
      </c>
      <c r="H219" t="s">
        <v>17</v>
      </c>
      <c r="I219">
        <v>100</v>
      </c>
      <c r="J219" t="s">
        <v>17</v>
      </c>
      <c r="K219" t="s">
        <v>18</v>
      </c>
      <c r="L219" s="3">
        <f t="shared" si="6"/>
        <v>18234.629055007055</v>
      </c>
      <c r="M219" s="3">
        <f t="shared" si="7"/>
        <v>332501696.77370751</v>
      </c>
    </row>
    <row r="220" spans="1:13" customFormat="1">
      <c r="A220">
        <v>2023</v>
      </c>
      <c r="B220" t="s">
        <v>13</v>
      </c>
      <c r="C220" t="s">
        <v>14</v>
      </c>
      <c r="D220" t="s">
        <v>15</v>
      </c>
      <c r="E220">
        <v>95000</v>
      </c>
      <c r="F220" t="s">
        <v>16</v>
      </c>
      <c r="G220">
        <v>95000</v>
      </c>
      <c r="H220" t="s">
        <v>17</v>
      </c>
      <c r="I220">
        <v>0</v>
      </c>
      <c r="J220" t="s">
        <v>17</v>
      </c>
      <c r="K220" t="s">
        <v>18</v>
      </c>
      <c r="L220" s="3">
        <f t="shared" si="6"/>
        <v>-11765.370944992945</v>
      </c>
      <c r="M220" s="3">
        <f t="shared" si="7"/>
        <v>138423953.47328418</v>
      </c>
    </row>
    <row r="221" spans="1:13" customFormat="1">
      <c r="A221">
        <v>2023</v>
      </c>
      <c r="B221" t="s">
        <v>13</v>
      </c>
      <c r="C221" t="s">
        <v>14</v>
      </c>
      <c r="D221" t="s">
        <v>15</v>
      </c>
      <c r="E221">
        <v>85500</v>
      </c>
      <c r="F221" t="s">
        <v>16</v>
      </c>
      <c r="G221">
        <v>85500</v>
      </c>
      <c r="H221" t="s">
        <v>17</v>
      </c>
      <c r="I221">
        <v>0</v>
      </c>
      <c r="J221" t="s">
        <v>17</v>
      </c>
      <c r="K221" t="s">
        <v>18</v>
      </c>
      <c r="L221" s="3">
        <f t="shared" si="6"/>
        <v>-21265.370944992945</v>
      </c>
      <c r="M221" s="3">
        <f t="shared" si="7"/>
        <v>452216001.42815012</v>
      </c>
    </row>
    <row r="222" spans="1:13" customFormat="1">
      <c r="A222">
        <v>2023</v>
      </c>
      <c r="B222" t="s">
        <v>13</v>
      </c>
      <c r="C222" t="s">
        <v>14</v>
      </c>
      <c r="D222" t="s">
        <v>15</v>
      </c>
      <c r="E222">
        <v>110000</v>
      </c>
      <c r="F222" t="s">
        <v>16</v>
      </c>
      <c r="G222">
        <v>110000</v>
      </c>
      <c r="H222" t="s">
        <v>17</v>
      </c>
      <c r="I222">
        <v>100</v>
      </c>
      <c r="J222" t="s">
        <v>17</v>
      </c>
      <c r="K222" t="s">
        <v>57</v>
      </c>
      <c r="L222" s="3">
        <f t="shared" si="6"/>
        <v>3234.6290550070553</v>
      </c>
      <c r="M222" s="3">
        <f t="shared" si="7"/>
        <v>10462825.123495836</v>
      </c>
    </row>
    <row r="223" spans="1:13" customFormat="1">
      <c r="A223">
        <v>2023</v>
      </c>
      <c r="B223" t="s">
        <v>13</v>
      </c>
      <c r="C223" t="s">
        <v>14</v>
      </c>
      <c r="D223" t="s">
        <v>15</v>
      </c>
      <c r="E223">
        <v>80000</v>
      </c>
      <c r="F223" t="s">
        <v>16</v>
      </c>
      <c r="G223">
        <v>80000</v>
      </c>
      <c r="H223" t="s">
        <v>17</v>
      </c>
      <c r="I223">
        <v>100</v>
      </c>
      <c r="J223" t="s">
        <v>17</v>
      </c>
      <c r="K223" t="s">
        <v>57</v>
      </c>
      <c r="L223" s="3">
        <f t="shared" si="6"/>
        <v>-26765.370944992945</v>
      </c>
      <c r="M223" s="3">
        <f t="shared" si="7"/>
        <v>716385081.82307255</v>
      </c>
    </row>
    <row r="224" spans="1:13" customFormat="1">
      <c r="A224">
        <v>2023</v>
      </c>
      <c r="B224" t="s">
        <v>28</v>
      </c>
      <c r="C224" t="s">
        <v>14</v>
      </c>
      <c r="D224" t="s">
        <v>15</v>
      </c>
      <c r="E224">
        <v>55000</v>
      </c>
      <c r="F224" t="s">
        <v>16</v>
      </c>
      <c r="G224">
        <v>55000</v>
      </c>
      <c r="H224" t="s">
        <v>17</v>
      </c>
      <c r="I224">
        <v>0</v>
      </c>
      <c r="J224" t="s">
        <v>17</v>
      </c>
      <c r="K224" t="s">
        <v>18</v>
      </c>
      <c r="L224" s="3">
        <f t="shared" si="6"/>
        <v>-51765.370944992945</v>
      </c>
      <c r="M224" s="3">
        <f t="shared" si="7"/>
        <v>2679653629.0727196</v>
      </c>
    </row>
    <row r="225" spans="1:13" customFormat="1">
      <c r="A225">
        <v>2023</v>
      </c>
      <c r="B225" t="s">
        <v>28</v>
      </c>
      <c r="C225" t="s">
        <v>14</v>
      </c>
      <c r="D225" t="s">
        <v>15</v>
      </c>
      <c r="E225">
        <v>48000</v>
      </c>
      <c r="F225" t="s">
        <v>16</v>
      </c>
      <c r="G225">
        <v>48000</v>
      </c>
      <c r="H225" t="s">
        <v>17</v>
      </c>
      <c r="I225">
        <v>0</v>
      </c>
      <c r="J225" t="s">
        <v>17</v>
      </c>
      <c r="K225" t="s">
        <v>18</v>
      </c>
      <c r="L225" s="3">
        <f t="shared" si="6"/>
        <v>-58765.370944992945</v>
      </c>
      <c r="M225" s="3">
        <f t="shared" si="7"/>
        <v>3453368822.3026209</v>
      </c>
    </row>
    <row r="226" spans="1:13" customFormat="1">
      <c r="A226">
        <v>2023</v>
      </c>
      <c r="B226" t="s">
        <v>13</v>
      </c>
      <c r="C226" t="s">
        <v>14</v>
      </c>
      <c r="D226" t="s">
        <v>15</v>
      </c>
      <c r="E226">
        <v>95000</v>
      </c>
      <c r="F226" t="s">
        <v>16</v>
      </c>
      <c r="G226">
        <v>95000</v>
      </c>
      <c r="H226" t="s">
        <v>17</v>
      </c>
      <c r="I226">
        <v>0</v>
      </c>
      <c r="J226" t="s">
        <v>17</v>
      </c>
      <c r="K226" t="s">
        <v>18</v>
      </c>
      <c r="L226" s="3">
        <f t="shared" si="6"/>
        <v>-11765.370944992945</v>
      </c>
      <c r="M226" s="3">
        <f t="shared" si="7"/>
        <v>138423953.47328418</v>
      </c>
    </row>
    <row r="227" spans="1:13" customFormat="1">
      <c r="A227">
        <v>2023</v>
      </c>
      <c r="B227" t="s">
        <v>13</v>
      </c>
      <c r="C227" t="s">
        <v>14</v>
      </c>
      <c r="D227" t="s">
        <v>15</v>
      </c>
      <c r="E227">
        <v>85000</v>
      </c>
      <c r="F227" t="s">
        <v>16</v>
      </c>
      <c r="G227">
        <v>85000</v>
      </c>
      <c r="H227" t="s">
        <v>17</v>
      </c>
      <c r="I227">
        <v>0</v>
      </c>
      <c r="J227" t="s">
        <v>17</v>
      </c>
      <c r="K227" t="s">
        <v>18</v>
      </c>
      <c r="L227" s="3">
        <f t="shared" si="6"/>
        <v>-21765.370944992945</v>
      </c>
      <c r="M227" s="3">
        <f t="shared" si="7"/>
        <v>473731372.37314308</v>
      </c>
    </row>
    <row r="228" spans="1:13" customFormat="1">
      <c r="A228">
        <v>2023</v>
      </c>
      <c r="B228" t="s">
        <v>19</v>
      </c>
      <c r="C228" t="s">
        <v>14</v>
      </c>
      <c r="D228" t="s">
        <v>15</v>
      </c>
      <c r="E228">
        <v>80000</v>
      </c>
      <c r="F228" t="s">
        <v>16</v>
      </c>
      <c r="G228">
        <v>80000</v>
      </c>
      <c r="H228" t="s">
        <v>17</v>
      </c>
      <c r="I228">
        <v>0</v>
      </c>
      <c r="J228" t="s">
        <v>17</v>
      </c>
      <c r="K228" t="s">
        <v>18</v>
      </c>
      <c r="L228" s="3">
        <f t="shared" si="6"/>
        <v>-26765.370944992945</v>
      </c>
      <c r="M228" s="3">
        <f t="shared" si="7"/>
        <v>716385081.82307255</v>
      </c>
    </row>
    <row r="229" spans="1:13" customFormat="1">
      <c r="A229">
        <v>2023</v>
      </c>
      <c r="B229" t="s">
        <v>19</v>
      </c>
      <c r="C229" t="s">
        <v>14</v>
      </c>
      <c r="D229" t="s">
        <v>15</v>
      </c>
      <c r="E229">
        <v>60000</v>
      </c>
      <c r="F229" t="s">
        <v>16</v>
      </c>
      <c r="G229">
        <v>60000</v>
      </c>
      <c r="H229" t="s">
        <v>17</v>
      </c>
      <c r="I229">
        <v>0</v>
      </c>
      <c r="J229" t="s">
        <v>17</v>
      </c>
      <c r="K229" t="s">
        <v>18</v>
      </c>
      <c r="L229" s="3">
        <f t="shared" si="6"/>
        <v>-46765.370944992945</v>
      </c>
      <c r="M229" s="3">
        <f t="shared" si="7"/>
        <v>2186999919.6227903</v>
      </c>
    </row>
    <row r="230" spans="1:13" customFormat="1">
      <c r="A230">
        <v>2023</v>
      </c>
      <c r="B230" t="s">
        <v>13</v>
      </c>
      <c r="C230" t="s">
        <v>14</v>
      </c>
      <c r="D230" t="s">
        <v>15</v>
      </c>
      <c r="E230">
        <v>142000</v>
      </c>
      <c r="F230" t="s">
        <v>16</v>
      </c>
      <c r="G230">
        <v>142000</v>
      </c>
      <c r="H230" t="s">
        <v>17</v>
      </c>
      <c r="I230">
        <v>100</v>
      </c>
      <c r="J230" t="s">
        <v>17</v>
      </c>
      <c r="K230" t="s">
        <v>18</v>
      </c>
      <c r="L230" s="3">
        <f t="shared" si="6"/>
        <v>35234.629055007055</v>
      </c>
      <c r="M230" s="3">
        <f t="shared" si="7"/>
        <v>1241479084.6439474</v>
      </c>
    </row>
    <row r="231" spans="1:13" customFormat="1">
      <c r="A231">
        <v>2023</v>
      </c>
      <c r="B231" t="s">
        <v>13</v>
      </c>
      <c r="C231" t="s">
        <v>14</v>
      </c>
      <c r="D231" t="s">
        <v>15</v>
      </c>
      <c r="E231">
        <v>95000</v>
      </c>
      <c r="F231" t="s">
        <v>16</v>
      </c>
      <c r="G231">
        <v>95000</v>
      </c>
      <c r="H231" t="s">
        <v>17</v>
      </c>
      <c r="I231">
        <v>100</v>
      </c>
      <c r="J231" t="s">
        <v>17</v>
      </c>
      <c r="K231" t="s">
        <v>18</v>
      </c>
      <c r="L231" s="3">
        <f t="shared" si="6"/>
        <v>-11765.370944992945</v>
      </c>
      <c r="M231" s="3">
        <f t="shared" si="7"/>
        <v>138423953.47328418</v>
      </c>
    </row>
    <row r="232" spans="1:13" customFormat="1">
      <c r="A232">
        <v>2023</v>
      </c>
      <c r="B232" t="s">
        <v>19</v>
      </c>
      <c r="C232" t="s">
        <v>14</v>
      </c>
      <c r="D232" t="s">
        <v>15</v>
      </c>
      <c r="E232">
        <v>90000</v>
      </c>
      <c r="F232" t="s">
        <v>41</v>
      </c>
      <c r="G232">
        <v>109371</v>
      </c>
      <c r="H232" t="s">
        <v>63</v>
      </c>
      <c r="I232">
        <v>0</v>
      </c>
      <c r="J232" t="s">
        <v>63</v>
      </c>
      <c r="K232" t="s">
        <v>18</v>
      </c>
      <c r="L232" s="3">
        <f t="shared" si="6"/>
        <v>2605.6290550070553</v>
      </c>
      <c r="M232" s="3">
        <f t="shared" si="7"/>
        <v>6789302.7722969595</v>
      </c>
    </row>
    <row r="233" spans="1:13" customFormat="1">
      <c r="A233">
        <v>2023</v>
      </c>
      <c r="B233" t="s">
        <v>19</v>
      </c>
      <c r="C233" t="s">
        <v>14</v>
      </c>
      <c r="D233" t="s">
        <v>15</v>
      </c>
      <c r="E233">
        <v>60000</v>
      </c>
      <c r="F233" t="s">
        <v>41</v>
      </c>
      <c r="G233">
        <v>72914</v>
      </c>
      <c r="H233" t="s">
        <v>63</v>
      </c>
      <c r="I233">
        <v>0</v>
      </c>
      <c r="J233" t="s">
        <v>63</v>
      </c>
      <c r="K233" t="s">
        <v>18</v>
      </c>
      <c r="L233" s="3">
        <f t="shared" si="6"/>
        <v>-33851.370944992945</v>
      </c>
      <c r="M233" s="3">
        <f t="shared" si="7"/>
        <v>1145915314.8555126</v>
      </c>
    </row>
    <row r="234" spans="1:13" customFormat="1">
      <c r="A234">
        <v>2023</v>
      </c>
      <c r="B234" t="s">
        <v>28</v>
      </c>
      <c r="C234" t="s">
        <v>56</v>
      </c>
      <c r="D234" t="s">
        <v>15</v>
      </c>
      <c r="E234">
        <v>78000</v>
      </c>
      <c r="F234" t="s">
        <v>64</v>
      </c>
      <c r="G234">
        <v>17779</v>
      </c>
      <c r="H234" t="s">
        <v>65</v>
      </c>
      <c r="I234">
        <v>100</v>
      </c>
      <c r="J234" t="s">
        <v>53</v>
      </c>
      <c r="K234" t="s">
        <v>31</v>
      </c>
      <c r="L234" s="3">
        <f t="shared" si="6"/>
        <v>-88986.370944992945</v>
      </c>
      <c r="M234" s="3">
        <f t="shared" si="7"/>
        <v>7918574213.9598846</v>
      </c>
    </row>
    <row r="235" spans="1:13" customFormat="1">
      <c r="A235">
        <v>2023</v>
      </c>
      <c r="B235" t="s">
        <v>13</v>
      </c>
      <c r="C235" t="s">
        <v>14</v>
      </c>
      <c r="D235" t="s">
        <v>15</v>
      </c>
      <c r="E235">
        <v>120000</v>
      </c>
      <c r="F235" t="s">
        <v>16</v>
      </c>
      <c r="G235">
        <v>120000</v>
      </c>
      <c r="H235" t="s">
        <v>17</v>
      </c>
      <c r="I235">
        <v>100</v>
      </c>
      <c r="J235" t="s">
        <v>17</v>
      </c>
      <c r="K235" t="s">
        <v>18</v>
      </c>
      <c r="L235" s="3">
        <f t="shared" si="6"/>
        <v>13234.629055007055</v>
      </c>
      <c r="M235" s="3">
        <f t="shared" si="7"/>
        <v>175155406.22363696</v>
      </c>
    </row>
    <row r="236" spans="1:13" customFormat="1">
      <c r="A236">
        <v>2023</v>
      </c>
      <c r="B236" t="s">
        <v>13</v>
      </c>
      <c r="C236" t="s">
        <v>14</v>
      </c>
      <c r="D236" t="s">
        <v>15</v>
      </c>
      <c r="E236">
        <v>75000</v>
      </c>
      <c r="F236" t="s">
        <v>16</v>
      </c>
      <c r="G236">
        <v>75000</v>
      </c>
      <c r="H236" t="s">
        <v>17</v>
      </c>
      <c r="I236">
        <v>100</v>
      </c>
      <c r="J236" t="s">
        <v>17</v>
      </c>
      <c r="K236" t="s">
        <v>18</v>
      </c>
      <c r="L236" s="3">
        <f t="shared" si="6"/>
        <v>-31765.370944992945</v>
      </c>
      <c r="M236" s="3">
        <f t="shared" si="7"/>
        <v>1009038791.2730019</v>
      </c>
    </row>
    <row r="237" spans="1:13" customFormat="1">
      <c r="A237">
        <v>2023</v>
      </c>
      <c r="B237" t="s">
        <v>13</v>
      </c>
      <c r="C237" t="s">
        <v>14</v>
      </c>
      <c r="D237" t="s">
        <v>15</v>
      </c>
      <c r="E237">
        <v>169000</v>
      </c>
      <c r="F237" t="s">
        <v>16</v>
      </c>
      <c r="G237">
        <v>169000</v>
      </c>
      <c r="H237" t="s">
        <v>17</v>
      </c>
      <c r="I237">
        <v>0</v>
      </c>
      <c r="J237" t="s">
        <v>17</v>
      </c>
      <c r="K237" t="s">
        <v>18</v>
      </c>
      <c r="L237" s="3">
        <f t="shared" si="6"/>
        <v>62234.629055007055</v>
      </c>
      <c r="M237" s="3">
        <f t="shared" si="7"/>
        <v>3873149053.6143284</v>
      </c>
    </row>
    <row r="238" spans="1:13" customFormat="1">
      <c r="A238">
        <v>2023</v>
      </c>
      <c r="B238" t="s">
        <v>13</v>
      </c>
      <c r="C238" t="s">
        <v>14</v>
      </c>
      <c r="D238" t="s">
        <v>15</v>
      </c>
      <c r="E238">
        <v>110600</v>
      </c>
      <c r="F238" t="s">
        <v>16</v>
      </c>
      <c r="G238">
        <v>110600</v>
      </c>
      <c r="H238" t="s">
        <v>17</v>
      </c>
      <c r="I238">
        <v>0</v>
      </c>
      <c r="J238" t="s">
        <v>17</v>
      </c>
      <c r="K238" t="s">
        <v>18</v>
      </c>
      <c r="L238" s="3">
        <f t="shared" si="6"/>
        <v>3834.6290550070553</v>
      </c>
      <c r="M238" s="3">
        <f t="shared" si="7"/>
        <v>14704379.989504302</v>
      </c>
    </row>
    <row r="239" spans="1:13" customFormat="1">
      <c r="A239">
        <v>2023</v>
      </c>
      <c r="B239" t="s">
        <v>28</v>
      </c>
      <c r="C239" t="s">
        <v>14</v>
      </c>
      <c r="D239" t="s">
        <v>15</v>
      </c>
      <c r="E239">
        <v>75000</v>
      </c>
      <c r="F239" t="s">
        <v>16</v>
      </c>
      <c r="G239">
        <v>75000</v>
      </c>
      <c r="H239" t="s">
        <v>17</v>
      </c>
      <c r="I239">
        <v>100</v>
      </c>
      <c r="J239" t="s">
        <v>17</v>
      </c>
      <c r="K239" t="s">
        <v>18</v>
      </c>
      <c r="L239" s="3">
        <f t="shared" si="6"/>
        <v>-31765.370944992945</v>
      </c>
      <c r="M239" s="3">
        <f t="shared" si="7"/>
        <v>1009038791.2730019</v>
      </c>
    </row>
    <row r="240" spans="1:13" customFormat="1">
      <c r="A240">
        <v>2023</v>
      </c>
      <c r="B240" t="s">
        <v>28</v>
      </c>
      <c r="C240" t="s">
        <v>14</v>
      </c>
      <c r="D240" t="s">
        <v>15</v>
      </c>
      <c r="E240">
        <v>60000</v>
      </c>
      <c r="F240" t="s">
        <v>16</v>
      </c>
      <c r="G240">
        <v>60000</v>
      </c>
      <c r="H240" t="s">
        <v>17</v>
      </c>
      <c r="I240">
        <v>100</v>
      </c>
      <c r="J240" t="s">
        <v>17</v>
      </c>
      <c r="K240" t="s">
        <v>18</v>
      </c>
      <c r="L240" s="3">
        <f t="shared" si="6"/>
        <v>-46765.370944992945</v>
      </c>
      <c r="M240" s="3">
        <f t="shared" si="7"/>
        <v>2186999919.6227903</v>
      </c>
    </row>
    <row r="241" spans="1:13" customFormat="1">
      <c r="A241">
        <v>2023</v>
      </c>
      <c r="B241" t="s">
        <v>13</v>
      </c>
      <c r="C241" t="s">
        <v>14</v>
      </c>
      <c r="D241" t="s">
        <v>15</v>
      </c>
      <c r="E241">
        <v>227000</v>
      </c>
      <c r="F241" t="s">
        <v>16</v>
      </c>
      <c r="G241">
        <v>227000</v>
      </c>
      <c r="H241" t="s">
        <v>17</v>
      </c>
      <c r="I241">
        <v>0</v>
      </c>
      <c r="J241" t="s">
        <v>17</v>
      </c>
      <c r="K241" t="s">
        <v>18</v>
      </c>
      <c r="L241" s="3">
        <f t="shared" si="6"/>
        <v>120234.62905500706</v>
      </c>
      <c r="M241" s="3">
        <f t="shared" si="7"/>
        <v>14456366023.995148</v>
      </c>
    </row>
    <row r="242" spans="1:13" customFormat="1">
      <c r="A242">
        <v>2023</v>
      </c>
      <c r="B242" t="s">
        <v>13</v>
      </c>
      <c r="C242" t="s">
        <v>14</v>
      </c>
      <c r="D242" t="s">
        <v>15</v>
      </c>
      <c r="E242">
        <v>108000</v>
      </c>
      <c r="F242" t="s">
        <v>16</v>
      </c>
      <c r="G242">
        <v>108000</v>
      </c>
      <c r="H242" t="s">
        <v>17</v>
      </c>
      <c r="I242">
        <v>0</v>
      </c>
      <c r="J242" t="s">
        <v>17</v>
      </c>
      <c r="K242" t="s">
        <v>18</v>
      </c>
      <c r="L242" s="3">
        <f t="shared" si="6"/>
        <v>1234.6290550070553</v>
      </c>
      <c r="M242" s="3">
        <f t="shared" si="7"/>
        <v>1524308.9034676144</v>
      </c>
    </row>
    <row r="243" spans="1:13" customFormat="1">
      <c r="A243">
        <v>2023</v>
      </c>
      <c r="B243" t="s">
        <v>13</v>
      </c>
      <c r="C243" t="s">
        <v>14</v>
      </c>
      <c r="D243" t="s">
        <v>15</v>
      </c>
      <c r="E243">
        <v>52000</v>
      </c>
      <c r="F243" t="s">
        <v>49</v>
      </c>
      <c r="G243">
        <v>55800</v>
      </c>
      <c r="H243" t="s">
        <v>50</v>
      </c>
      <c r="I243">
        <v>100</v>
      </c>
      <c r="J243" t="s">
        <v>50</v>
      </c>
      <c r="K243" t="s">
        <v>18</v>
      </c>
      <c r="L243" s="3">
        <f t="shared" si="6"/>
        <v>-50965.370944992945</v>
      </c>
      <c r="M243" s="3">
        <f t="shared" si="7"/>
        <v>2597469035.5607309</v>
      </c>
    </row>
    <row r="244" spans="1:13" customFormat="1">
      <c r="A244">
        <v>2023</v>
      </c>
      <c r="B244" t="s">
        <v>13</v>
      </c>
      <c r="C244" t="s">
        <v>14</v>
      </c>
      <c r="D244" t="s">
        <v>15</v>
      </c>
      <c r="E244">
        <v>48000</v>
      </c>
      <c r="F244" t="s">
        <v>49</v>
      </c>
      <c r="G244">
        <v>51508</v>
      </c>
      <c r="H244" t="s">
        <v>50</v>
      </c>
      <c r="I244">
        <v>100</v>
      </c>
      <c r="J244" t="s">
        <v>50</v>
      </c>
      <c r="K244" t="s">
        <v>18</v>
      </c>
      <c r="L244" s="3">
        <f t="shared" si="6"/>
        <v>-55257.370944992945</v>
      </c>
      <c r="M244" s="3">
        <f t="shared" si="7"/>
        <v>3053377043.7525506</v>
      </c>
    </row>
    <row r="245" spans="1:13" customFormat="1">
      <c r="A245">
        <v>2023</v>
      </c>
      <c r="B245" t="s">
        <v>28</v>
      </c>
      <c r="C245" t="s">
        <v>14</v>
      </c>
      <c r="D245" t="s">
        <v>15</v>
      </c>
      <c r="E245">
        <v>60000</v>
      </c>
      <c r="F245" t="s">
        <v>16</v>
      </c>
      <c r="G245">
        <v>60000</v>
      </c>
      <c r="H245" t="s">
        <v>17</v>
      </c>
      <c r="I245">
        <v>100</v>
      </c>
      <c r="J245" t="s">
        <v>17</v>
      </c>
      <c r="K245" t="s">
        <v>31</v>
      </c>
      <c r="L245" s="3">
        <f t="shared" si="6"/>
        <v>-46765.370944992945</v>
      </c>
      <c r="M245" s="3">
        <f t="shared" si="7"/>
        <v>2186999919.6227903</v>
      </c>
    </row>
    <row r="246" spans="1:13" customFormat="1">
      <c r="A246">
        <v>2023</v>
      </c>
      <c r="B246" t="s">
        <v>28</v>
      </c>
      <c r="C246" t="s">
        <v>14</v>
      </c>
      <c r="D246" t="s">
        <v>15</v>
      </c>
      <c r="E246">
        <v>50000</v>
      </c>
      <c r="F246" t="s">
        <v>16</v>
      </c>
      <c r="G246">
        <v>50000</v>
      </c>
      <c r="H246" t="s">
        <v>66</v>
      </c>
      <c r="I246">
        <v>50</v>
      </c>
      <c r="J246" t="s">
        <v>17</v>
      </c>
      <c r="K246" t="s">
        <v>31</v>
      </c>
      <c r="L246" s="3">
        <f t="shared" si="6"/>
        <v>-56765.370944992945</v>
      </c>
      <c r="M246" s="3">
        <f t="shared" si="7"/>
        <v>3222307338.5226493</v>
      </c>
    </row>
    <row r="247" spans="1:13" customFormat="1">
      <c r="A247">
        <v>2023</v>
      </c>
      <c r="B247" t="s">
        <v>13</v>
      </c>
      <c r="C247" t="s">
        <v>14</v>
      </c>
      <c r="D247" t="s">
        <v>15</v>
      </c>
      <c r="E247">
        <v>80000</v>
      </c>
      <c r="F247" t="s">
        <v>16</v>
      </c>
      <c r="G247">
        <v>80000</v>
      </c>
      <c r="H247" t="s">
        <v>17</v>
      </c>
      <c r="I247">
        <v>0</v>
      </c>
      <c r="J247" t="s">
        <v>17</v>
      </c>
      <c r="K247" t="s">
        <v>18</v>
      </c>
      <c r="L247" s="3">
        <f t="shared" si="6"/>
        <v>-26765.370944992945</v>
      </c>
      <c r="M247" s="3">
        <f t="shared" si="7"/>
        <v>716385081.82307255</v>
      </c>
    </row>
    <row r="248" spans="1:13" customFormat="1">
      <c r="A248">
        <v>2023</v>
      </c>
      <c r="B248" t="s">
        <v>13</v>
      </c>
      <c r="C248" t="s">
        <v>14</v>
      </c>
      <c r="D248" t="s">
        <v>15</v>
      </c>
      <c r="E248">
        <v>52500</v>
      </c>
      <c r="F248" t="s">
        <v>16</v>
      </c>
      <c r="G248">
        <v>52500</v>
      </c>
      <c r="H248" t="s">
        <v>17</v>
      </c>
      <c r="I248">
        <v>0</v>
      </c>
      <c r="J248" t="s">
        <v>17</v>
      </c>
      <c r="K248" t="s">
        <v>18</v>
      </c>
      <c r="L248" s="3">
        <f t="shared" si="6"/>
        <v>-54265.370944992945</v>
      </c>
      <c r="M248" s="3">
        <f t="shared" si="7"/>
        <v>2944730483.7976847</v>
      </c>
    </row>
    <row r="249" spans="1:13" customFormat="1">
      <c r="A249">
        <v>2023</v>
      </c>
      <c r="B249" t="s">
        <v>28</v>
      </c>
      <c r="C249" t="s">
        <v>14</v>
      </c>
      <c r="D249" t="s">
        <v>15</v>
      </c>
      <c r="E249">
        <v>85000</v>
      </c>
      <c r="F249" t="s">
        <v>16</v>
      </c>
      <c r="G249">
        <v>85000</v>
      </c>
      <c r="H249" t="s">
        <v>17</v>
      </c>
      <c r="I249">
        <v>100</v>
      </c>
      <c r="J249" t="s">
        <v>17</v>
      </c>
      <c r="K249" t="s">
        <v>18</v>
      </c>
      <c r="L249" s="3">
        <f t="shared" si="6"/>
        <v>-21765.370944992945</v>
      </c>
      <c r="M249" s="3">
        <f t="shared" si="7"/>
        <v>473731372.37314308</v>
      </c>
    </row>
    <row r="250" spans="1:13" customFormat="1">
      <c r="A250">
        <v>2023</v>
      </c>
      <c r="B250" t="s">
        <v>28</v>
      </c>
      <c r="C250" t="s">
        <v>14</v>
      </c>
      <c r="D250" t="s">
        <v>15</v>
      </c>
      <c r="E250">
        <v>75000</v>
      </c>
      <c r="F250" t="s">
        <v>16</v>
      </c>
      <c r="G250">
        <v>75000</v>
      </c>
      <c r="H250" t="s">
        <v>17</v>
      </c>
      <c r="I250">
        <v>100</v>
      </c>
      <c r="J250" t="s">
        <v>17</v>
      </c>
      <c r="K250" t="s">
        <v>18</v>
      </c>
      <c r="L250" s="3">
        <f t="shared" si="6"/>
        <v>-31765.370944992945</v>
      </c>
      <c r="M250" s="3">
        <f t="shared" si="7"/>
        <v>1009038791.2730019</v>
      </c>
    </row>
    <row r="251" spans="1:13" customFormat="1">
      <c r="A251">
        <v>2023</v>
      </c>
      <c r="B251" t="s">
        <v>13</v>
      </c>
      <c r="C251" t="s">
        <v>14</v>
      </c>
      <c r="D251" t="s">
        <v>15</v>
      </c>
      <c r="E251">
        <v>153600</v>
      </c>
      <c r="F251" t="s">
        <v>16</v>
      </c>
      <c r="G251">
        <v>153600</v>
      </c>
      <c r="H251" t="s">
        <v>17</v>
      </c>
      <c r="I251">
        <v>0</v>
      </c>
      <c r="J251" t="s">
        <v>17</v>
      </c>
      <c r="K251" t="s">
        <v>18</v>
      </c>
      <c r="L251" s="3">
        <f t="shared" si="6"/>
        <v>46834.629055007055</v>
      </c>
      <c r="M251" s="3">
        <f t="shared" si="7"/>
        <v>2193482478.7201109</v>
      </c>
    </row>
    <row r="252" spans="1:13" customFormat="1">
      <c r="A252">
        <v>2023</v>
      </c>
      <c r="B252" t="s">
        <v>13</v>
      </c>
      <c r="C252" t="s">
        <v>14</v>
      </c>
      <c r="D252" t="s">
        <v>15</v>
      </c>
      <c r="E252">
        <v>106800</v>
      </c>
      <c r="F252" t="s">
        <v>16</v>
      </c>
      <c r="G252">
        <v>106800</v>
      </c>
      <c r="H252" t="s">
        <v>17</v>
      </c>
      <c r="I252">
        <v>0</v>
      </c>
      <c r="J252" t="s">
        <v>17</v>
      </c>
      <c r="K252" t="s">
        <v>18</v>
      </c>
      <c r="L252" s="3">
        <f t="shared" si="6"/>
        <v>34.629055007055285</v>
      </c>
      <c r="M252" s="3">
        <f t="shared" si="7"/>
        <v>1199.1714506816606</v>
      </c>
    </row>
    <row r="253" spans="1:13" customFormat="1">
      <c r="A253">
        <v>2023</v>
      </c>
      <c r="B253" t="s">
        <v>19</v>
      </c>
      <c r="C253" t="s">
        <v>14</v>
      </c>
      <c r="D253" t="s">
        <v>15</v>
      </c>
      <c r="E253">
        <v>165000</v>
      </c>
      <c r="F253" t="s">
        <v>16</v>
      </c>
      <c r="G253">
        <v>165000</v>
      </c>
      <c r="H253" t="s">
        <v>17</v>
      </c>
      <c r="I253">
        <v>0</v>
      </c>
      <c r="J253" t="s">
        <v>17</v>
      </c>
      <c r="K253" t="s">
        <v>18</v>
      </c>
      <c r="L253" s="3">
        <f t="shared" si="6"/>
        <v>58234.629055007055</v>
      </c>
      <c r="M253" s="3">
        <f t="shared" si="7"/>
        <v>3391272021.1742721</v>
      </c>
    </row>
    <row r="254" spans="1:13" customFormat="1">
      <c r="A254">
        <v>2023</v>
      </c>
      <c r="B254" t="s">
        <v>19</v>
      </c>
      <c r="C254" t="s">
        <v>14</v>
      </c>
      <c r="D254" t="s">
        <v>15</v>
      </c>
      <c r="E254">
        <v>124000</v>
      </c>
      <c r="F254" t="s">
        <v>16</v>
      </c>
      <c r="G254">
        <v>124000</v>
      </c>
      <c r="H254" t="s">
        <v>17</v>
      </c>
      <c r="I254">
        <v>0</v>
      </c>
      <c r="J254" t="s">
        <v>17</v>
      </c>
      <c r="K254" t="s">
        <v>18</v>
      </c>
      <c r="L254" s="3">
        <f t="shared" si="6"/>
        <v>17234.629055007055</v>
      </c>
      <c r="M254" s="3">
        <f t="shared" si="7"/>
        <v>297032438.66369337</v>
      </c>
    </row>
    <row r="255" spans="1:13" customFormat="1">
      <c r="A255">
        <v>2023</v>
      </c>
      <c r="B255" t="s">
        <v>13</v>
      </c>
      <c r="C255" t="s">
        <v>14</v>
      </c>
      <c r="D255" t="s">
        <v>15</v>
      </c>
      <c r="E255">
        <v>115934</v>
      </c>
      <c r="F255" t="s">
        <v>16</v>
      </c>
      <c r="G255">
        <v>115934</v>
      </c>
      <c r="H255" t="s">
        <v>17</v>
      </c>
      <c r="I255">
        <v>100</v>
      </c>
      <c r="J255" t="s">
        <v>17</v>
      </c>
      <c r="K255" t="s">
        <v>18</v>
      </c>
      <c r="L255" s="3">
        <f t="shared" si="6"/>
        <v>9168.6290550070553</v>
      </c>
      <c r="M255" s="3">
        <f t="shared" si="7"/>
        <v>84063758.748319566</v>
      </c>
    </row>
    <row r="256" spans="1:13" customFormat="1">
      <c r="A256">
        <v>2023</v>
      </c>
      <c r="B256" t="s">
        <v>13</v>
      </c>
      <c r="C256" t="s">
        <v>14</v>
      </c>
      <c r="D256" t="s">
        <v>15</v>
      </c>
      <c r="E256">
        <v>81666</v>
      </c>
      <c r="F256" t="s">
        <v>16</v>
      </c>
      <c r="G256">
        <v>81666</v>
      </c>
      <c r="H256" t="s">
        <v>17</v>
      </c>
      <c r="I256">
        <v>100</v>
      </c>
      <c r="J256" t="s">
        <v>17</v>
      </c>
      <c r="K256" t="s">
        <v>18</v>
      </c>
      <c r="L256" s="3">
        <f t="shared" si="6"/>
        <v>-25099.370944992945</v>
      </c>
      <c r="M256" s="3">
        <f t="shared" si="7"/>
        <v>629978421.83435607</v>
      </c>
    </row>
    <row r="257" spans="1:13" customFormat="1">
      <c r="A257">
        <v>2023</v>
      </c>
      <c r="B257" t="s">
        <v>19</v>
      </c>
      <c r="C257" t="s">
        <v>14</v>
      </c>
      <c r="D257" t="s">
        <v>67</v>
      </c>
      <c r="E257">
        <v>1350000</v>
      </c>
      <c r="F257" t="s">
        <v>52</v>
      </c>
      <c r="G257">
        <v>16414</v>
      </c>
      <c r="H257" t="s">
        <v>53</v>
      </c>
      <c r="I257">
        <v>100</v>
      </c>
      <c r="J257" t="s">
        <v>53</v>
      </c>
      <c r="K257" t="s">
        <v>31</v>
      </c>
      <c r="L257" s="3">
        <f t="shared" si="6"/>
        <v>-90351.370944992945</v>
      </c>
      <c r="M257" s="3">
        <f t="shared" si="7"/>
        <v>8163370231.6397152</v>
      </c>
    </row>
    <row r="258" spans="1:13" customFormat="1">
      <c r="A258">
        <v>2023</v>
      </c>
      <c r="B258" t="s">
        <v>19</v>
      </c>
      <c r="C258" t="s">
        <v>14</v>
      </c>
      <c r="D258" t="s">
        <v>15</v>
      </c>
      <c r="E258">
        <v>125000</v>
      </c>
      <c r="F258" t="s">
        <v>16</v>
      </c>
      <c r="G258">
        <v>125000</v>
      </c>
      <c r="H258" t="s">
        <v>17</v>
      </c>
      <c r="I258">
        <v>0</v>
      </c>
      <c r="J258" t="s">
        <v>17</v>
      </c>
      <c r="K258" t="s">
        <v>18</v>
      </c>
      <c r="L258" s="3">
        <f t="shared" si="6"/>
        <v>18234.629055007055</v>
      </c>
      <c r="M258" s="3">
        <f t="shared" si="7"/>
        <v>332501696.77370751</v>
      </c>
    </row>
    <row r="259" spans="1:13" customFormat="1">
      <c r="A259">
        <v>2023</v>
      </c>
      <c r="B259" t="s">
        <v>19</v>
      </c>
      <c r="C259" t="s">
        <v>14</v>
      </c>
      <c r="D259" t="s">
        <v>15</v>
      </c>
      <c r="E259">
        <v>105000</v>
      </c>
      <c r="F259" t="s">
        <v>16</v>
      </c>
      <c r="G259">
        <v>105000</v>
      </c>
      <c r="H259" t="s">
        <v>17</v>
      </c>
      <c r="I259">
        <v>0</v>
      </c>
      <c r="J259" t="s">
        <v>17</v>
      </c>
      <c r="K259" t="s">
        <v>18</v>
      </c>
      <c r="L259" s="3">
        <f t="shared" ref="L259:L322" si="8">G259-$P$5</f>
        <v>-1765.3709449929447</v>
      </c>
      <c r="M259" s="3">
        <f t="shared" ref="M259:M322" si="9">L259^2</f>
        <v>3116534.5734252827</v>
      </c>
    </row>
    <row r="260" spans="1:13" customFormat="1">
      <c r="A260">
        <v>2023</v>
      </c>
      <c r="B260" t="s">
        <v>19</v>
      </c>
      <c r="C260" t="s">
        <v>14</v>
      </c>
      <c r="D260" t="s">
        <v>15</v>
      </c>
      <c r="E260">
        <v>90000</v>
      </c>
      <c r="F260" t="s">
        <v>41</v>
      </c>
      <c r="G260">
        <v>109371</v>
      </c>
      <c r="H260" t="s">
        <v>42</v>
      </c>
      <c r="I260">
        <v>0</v>
      </c>
      <c r="J260" t="s">
        <v>42</v>
      </c>
      <c r="K260" t="s">
        <v>18</v>
      </c>
      <c r="L260" s="3">
        <f t="shared" si="8"/>
        <v>2605.6290550070553</v>
      </c>
      <c r="M260" s="3">
        <f t="shared" si="9"/>
        <v>6789302.7722969595</v>
      </c>
    </row>
    <row r="261" spans="1:13" customFormat="1">
      <c r="A261">
        <v>2023</v>
      </c>
      <c r="B261" t="s">
        <v>19</v>
      </c>
      <c r="C261" t="s">
        <v>14</v>
      </c>
      <c r="D261" t="s">
        <v>15</v>
      </c>
      <c r="E261">
        <v>70000</v>
      </c>
      <c r="F261" t="s">
        <v>41</v>
      </c>
      <c r="G261">
        <v>85066</v>
      </c>
      <c r="H261" t="s">
        <v>42</v>
      </c>
      <c r="I261">
        <v>0</v>
      </c>
      <c r="J261" t="s">
        <v>42</v>
      </c>
      <c r="K261" t="s">
        <v>18</v>
      </c>
      <c r="L261" s="3">
        <f t="shared" si="8"/>
        <v>-21699.370944992945</v>
      </c>
      <c r="M261" s="3">
        <f t="shared" si="9"/>
        <v>470862699.40840399</v>
      </c>
    </row>
    <row r="262" spans="1:13" customFormat="1">
      <c r="A262">
        <v>2023</v>
      </c>
      <c r="B262" t="s">
        <v>28</v>
      </c>
      <c r="C262" t="s">
        <v>14</v>
      </c>
      <c r="D262" t="s">
        <v>15</v>
      </c>
      <c r="E262">
        <v>55000</v>
      </c>
      <c r="F262" t="s">
        <v>16</v>
      </c>
      <c r="G262">
        <v>55000</v>
      </c>
      <c r="H262" t="s">
        <v>17</v>
      </c>
      <c r="I262">
        <v>0</v>
      </c>
      <c r="J262" t="s">
        <v>17</v>
      </c>
      <c r="K262" t="s">
        <v>18</v>
      </c>
      <c r="L262" s="3">
        <f t="shared" si="8"/>
        <v>-51765.370944992945</v>
      </c>
      <c r="M262" s="3">
        <f t="shared" si="9"/>
        <v>2679653629.0727196</v>
      </c>
    </row>
    <row r="263" spans="1:13" customFormat="1">
      <c r="A263">
        <v>2023</v>
      </c>
      <c r="B263" t="s">
        <v>28</v>
      </c>
      <c r="C263" t="s">
        <v>14</v>
      </c>
      <c r="D263" t="s">
        <v>15</v>
      </c>
      <c r="E263">
        <v>48000</v>
      </c>
      <c r="F263" t="s">
        <v>16</v>
      </c>
      <c r="G263">
        <v>48000</v>
      </c>
      <c r="H263" t="s">
        <v>17</v>
      </c>
      <c r="I263">
        <v>0</v>
      </c>
      <c r="J263" t="s">
        <v>17</v>
      </c>
      <c r="K263" t="s">
        <v>18</v>
      </c>
      <c r="L263" s="3">
        <f t="shared" si="8"/>
        <v>-58765.370944992945</v>
      </c>
      <c r="M263" s="3">
        <f t="shared" si="9"/>
        <v>3453368822.3026209</v>
      </c>
    </row>
    <row r="264" spans="1:13" customFormat="1">
      <c r="A264">
        <v>2023</v>
      </c>
      <c r="B264" t="s">
        <v>28</v>
      </c>
      <c r="C264" t="s">
        <v>14</v>
      </c>
      <c r="D264" t="s">
        <v>15</v>
      </c>
      <c r="E264">
        <v>100000</v>
      </c>
      <c r="F264" t="s">
        <v>16</v>
      </c>
      <c r="G264">
        <v>100000</v>
      </c>
      <c r="H264" t="s">
        <v>17</v>
      </c>
      <c r="I264">
        <v>50</v>
      </c>
      <c r="J264" t="s">
        <v>17</v>
      </c>
      <c r="K264" t="s">
        <v>18</v>
      </c>
      <c r="L264" s="3">
        <f t="shared" si="8"/>
        <v>-6765.3709449929447</v>
      </c>
      <c r="M264" s="3">
        <f t="shared" si="9"/>
        <v>45770244.023354732</v>
      </c>
    </row>
    <row r="265" spans="1:13" customFormat="1">
      <c r="A265">
        <v>2023</v>
      </c>
      <c r="B265" t="s">
        <v>13</v>
      </c>
      <c r="C265" t="s">
        <v>14</v>
      </c>
      <c r="D265" t="s">
        <v>15</v>
      </c>
      <c r="E265">
        <v>385000</v>
      </c>
      <c r="F265" t="s">
        <v>16</v>
      </c>
      <c r="G265">
        <v>385000</v>
      </c>
      <c r="H265" t="s">
        <v>17</v>
      </c>
      <c r="I265">
        <v>0</v>
      </c>
      <c r="J265" t="s">
        <v>17</v>
      </c>
      <c r="K265" t="s">
        <v>18</v>
      </c>
      <c r="L265" s="3">
        <f t="shared" si="8"/>
        <v>278234.62905500707</v>
      </c>
      <c r="M265" s="3">
        <f t="shared" si="9"/>
        <v>77414508805.37738</v>
      </c>
    </row>
    <row r="266" spans="1:13" customFormat="1">
      <c r="A266">
        <v>2023</v>
      </c>
      <c r="B266" t="s">
        <v>13</v>
      </c>
      <c r="C266" t="s">
        <v>14</v>
      </c>
      <c r="D266" t="s">
        <v>15</v>
      </c>
      <c r="E266">
        <v>60000</v>
      </c>
      <c r="F266" t="s">
        <v>16</v>
      </c>
      <c r="G266">
        <v>60000</v>
      </c>
      <c r="H266" t="s">
        <v>17</v>
      </c>
      <c r="I266">
        <v>0</v>
      </c>
      <c r="J266" t="s">
        <v>17</v>
      </c>
      <c r="K266" t="s">
        <v>18</v>
      </c>
      <c r="L266" s="3">
        <f t="shared" si="8"/>
        <v>-46765.370944992945</v>
      </c>
      <c r="M266" s="3">
        <f t="shared" si="9"/>
        <v>2186999919.6227903</v>
      </c>
    </row>
    <row r="267" spans="1:13" customFormat="1">
      <c r="A267">
        <v>2023</v>
      </c>
      <c r="B267" t="s">
        <v>19</v>
      </c>
      <c r="C267" t="s">
        <v>14</v>
      </c>
      <c r="D267" t="s">
        <v>15</v>
      </c>
      <c r="E267">
        <v>110000</v>
      </c>
      <c r="F267" t="s">
        <v>16</v>
      </c>
      <c r="G267">
        <v>110000</v>
      </c>
      <c r="H267" t="s">
        <v>17</v>
      </c>
      <c r="I267">
        <v>100</v>
      </c>
      <c r="J267" t="s">
        <v>17</v>
      </c>
      <c r="K267" t="s">
        <v>18</v>
      </c>
      <c r="L267" s="3">
        <f t="shared" si="8"/>
        <v>3234.6290550070553</v>
      </c>
      <c r="M267" s="3">
        <f t="shared" si="9"/>
        <v>10462825.123495836</v>
      </c>
    </row>
    <row r="268" spans="1:13" customFormat="1">
      <c r="A268">
        <v>2023</v>
      </c>
      <c r="B268" t="s">
        <v>19</v>
      </c>
      <c r="C268" t="s">
        <v>14</v>
      </c>
      <c r="D268" t="s">
        <v>15</v>
      </c>
      <c r="E268">
        <v>95000</v>
      </c>
      <c r="F268" t="s">
        <v>16</v>
      </c>
      <c r="G268">
        <v>95000</v>
      </c>
      <c r="H268" t="s">
        <v>17</v>
      </c>
      <c r="I268">
        <v>100</v>
      </c>
      <c r="J268" t="s">
        <v>17</v>
      </c>
      <c r="K268" t="s">
        <v>18</v>
      </c>
      <c r="L268" s="3">
        <f t="shared" si="8"/>
        <v>-11765.370944992945</v>
      </c>
      <c r="M268" s="3">
        <f t="shared" si="9"/>
        <v>138423953.47328418</v>
      </c>
    </row>
    <row r="269" spans="1:13" customFormat="1">
      <c r="A269">
        <v>2023</v>
      </c>
      <c r="B269" t="s">
        <v>13</v>
      </c>
      <c r="C269" t="s">
        <v>14</v>
      </c>
      <c r="D269" t="s">
        <v>15</v>
      </c>
      <c r="E269">
        <v>180180</v>
      </c>
      <c r="F269" t="s">
        <v>16</v>
      </c>
      <c r="G269">
        <v>180180</v>
      </c>
      <c r="H269" t="s">
        <v>17</v>
      </c>
      <c r="I269">
        <v>0</v>
      </c>
      <c r="J269" t="s">
        <v>17</v>
      </c>
      <c r="K269" t="s">
        <v>18</v>
      </c>
      <c r="L269" s="3">
        <f t="shared" si="8"/>
        <v>73414.629055007055</v>
      </c>
      <c r="M269" s="3">
        <f t="shared" si="9"/>
        <v>5389707759.2842865</v>
      </c>
    </row>
    <row r="270" spans="1:13" customFormat="1">
      <c r="A270">
        <v>2023</v>
      </c>
      <c r="B270" t="s">
        <v>13</v>
      </c>
      <c r="C270" t="s">
        <v>14</v>
      </c>
      <c r="D270" t="s">
        <v>15</v>
      </c>
      <c r="E270">
        <v>106020</v>
      </c>
      <c r="F270" t="s">
        <v>16</v>
      </c>
      <c r="G270">
        <v>106020</v>
      </c>
      <c r="H270" t="s">
        <v>17</v>
      </c>
      <c r="I270">
        <v>0</v>
      </c>
      <c r="J270" t="s">
        <v>17</v>
      </c>
      <c r="K270" t="s">
        <v>18</v>
      </c>
      <c r="L270" s="3">
        <f t="shared" si="8"/>
        <v>-745.37094499294471</v>
      </c>
      <c r="M270" s="3">
        <f t="shared" si="9"/>
        <v>555577.84563967539</v>
      </c>
    </row>
    <row r="271" spans="1:13" customFormat="1">
      <c r="A271">
        <v>2023</v>
      </c>
      <c r="B271" t="s">
        <v>13</v>
      </c>
      <c r="C271" t="s">
        <v>14</v>
      </c>
      <c r="D271" t="s">
        <v>15</v>
      </c>
      <c r="E271">
        <v>93919</v>
      </c>
      <c r="F271" t="s">
        <v>16</v>
      </c>
      <c r="G271">
        <v>93919</v>
      </c>
      <c r="H271" t="s">
        <v>17</v>
      </c>
      <c r="I271">
        <v>100</v>
      </c>
      <c r="J271" t="s">
        <v>17</v>
      </c>
      <c r="K271" t="s">
        <v>18</v>
      </c>
      <c r="L271" s="3">
        <f t="shared" si="8"/>
        <v>-12846.370944992945</v>
      </c>
      <c r="M271" s="3">
        <f t="shared" si="9"/>
        <v>165029246.45635891</v>
      </c>
    </row>
    <row r="272" spans="1:13" customFormat="1">
      <c r="A272">
        <v>2023</v>
      </c>
      <c r="B272" t="s">
        <v>13</v>
      </c>
      <c r="C272" t="s">
        <v>14</v>
      </c>
      <c r="D272" t="s">
        <v>15</v>
      </c>
      <c r="E272">
        <v>51962</v>
      </c>
      <c r="F272" t="s">
        <v>16</v>
      </c>
      <c r="G272">
        <v>51962</v>
      </c>
      <c r="H272" t="s">
        <v>17</v>
      </c>
      <c r="I272">
        <v>100</v>
      </c>
      <c r="J272" t="s">
        <v>17</v>
      </c>
      <c r="K272" t="s">
        <v>18</v>
      </c>
      <c r="L272" s="3">
        <f t="shared" si="8"/>
        <v>-54803.370944992945</v>
      </c>
      <c r="M272" s="3">
        <f t="shared" si="9"/>
        <v>3003409466.9344969</v>
      </c>
    </row>
    <row r="273" spans="1:13" customFormat="1">
      <c r="A273">
        <v>2023</v>
      </c>
      <c r="B273" t="s">
        <v>13</v>
      </c>
      <c r="C273" t="s">
        <v>14</v>
      </c>
      <c r="D273" t="s">
        <v>15</v>
      </c>
      <c r="E273">
        <v>192500</v>
      </c>
      <c r="F273" t="s">
        <v>16</v>
      </c>
      <c r="G273">
        <v>192500</v>
      </c>
      <c r="H273" t="s">
        <v>17</v>
      </c>
      <c r="I273">
        <v>100</v>
      </c>
      <c r="J273" t="s">
        <v>17</v>
      </c>
      <c r="K273" t="s">
        <v>18</v>
      </c>
      <c r="L273" s="3">
        <f t="shared" si="8"/>
        <v>85734.629055007055</v>
      </c>
      <c r="M273" s="3">
        <f t="shared" si="9"/>
        <v>7350426619.1996603</v>
      </c>
    </row>
    <row r="274" spans="1:13" customFormat="1">
      <c r="A274">
        <v>2023</v>
      </c>
      <c r="B274" t="s">
        <v>13</v>
      </c>
      <c r="C274" t="s">
        <v>14</v>
      </c>
      <c r="D274" t="s">
        <v>15</v>
      </c>
      <c r="E274">
        <v>140000</v>
      </c>
      <c r="F274" t="s">
        <v>16</v>
      </c>
      <c r="G274">
        <v>140000</v>
      </c>
      <c r="H274" t="s">
        <v>17</v>
      </c>
      <c r="I274">
        <v>100</v>
      </c>
      <c r="J274" t="s">
        <v>17</v>
      </c>
      <c r="K274" t="s">
        <v>18</v>
      </c>
      <c r="L274" s="3">
        <f t="shared" si="8"/>
        <v>33234.629055007055</v>
      </c>
      <c r="M274" s="3">
        <f t="shared" si="9"/>
        <v>1104540568.4239192</v>
      </c>
    </row>
    <row r="275" spans="1:13" customFormat="1">
      <c r="A275">
        <v>2023</v>
      </c>
      <c r="B275" t="s">
        <v>19</v>
      </c>
      <c r="C275" t="s">
        <v>14</v>
      </c>
      <c r="D275" t="s">
        <v>15</v>
      </c>
      <c r="E275">
        <v>50000</v>
      </c>
      <c r="F275" t="s">
        <v>41</v>
      </c>
      <c r="G275">
        <v>60761</v>
      </c>
      <c r="H275" t="s">
        <v>42</v>
      </c>
      <c r="I275">
        <v>0</v>
      </c>
      <c r="J275" t="s">
        <v>42</v>
      </c>
      <c r="K275" t="s">
        <v>18</v>
      </c>
      <c r="L275" s="3">
        <f t="shared" si="8"/>
        <v>-46004.370944992945</v>
      </c>
      <c r="M275" s="3">
        <f t="shared" si="9"/>
        <v>2116402146.0445111</v>
      </c>
    </row>
    <row r="276" spans="1:13" customFormat="1">
      <c r="A276">
        <v>2023</v>
      </c>
      <c r="B276" t="s">
        <v>19</v>
      </c>
      <c r="C276" t="s">
        <v>14</v>
      </c>
      <c r="D276" t="s">
        <v>15</v>
      </c>
      <c r="E276">
        <v>45000</v>
      </c>
      <c r="F276" t="s">
        <v>41</v>
      </c>
      <c r="G276">
        <v>54685</v>
      </c>
      <c r="H276" t="s">
        <v>42</v>
      </c>
      <c r="I276">
        <v>0</v>
      </c>
      <c r="J276" t="s">
        <v>42</v>
      </c>
      <c r="K276" t="s">
        <v>18</v>
      </c>
      <c r="L276" s="3">
        <f t="shared" si="8"/>
        <v>-52080.370944992945</v>
      </c>
      <c r="M276" s="3">
        <f t="shared" si="9"/>
        <v>2712365037.7680655</v>
      </c>
    </row>
    <row r="277" spans="1:13" customFormat="1">
      <c r="A277">
        <v>2023</v>
      </c>
      <c r="B277" t="s">
        <v>44</v>
      </c>
      <c r="C277" t="s">
        <v>14</v>
      </c>
      <c r="D277" t="s">
        <v>36</v>
      </c>
      <c r="E277">
        <v>155000</v>
      </c>
      <c r="F277" t="s">
        <v>16</v>
      </c>
      <c r="G277">
        <v>155000</v>
      </c>
      <c r="H277" t="s">
        <v>17</v>
      </c>
      <c r="I277">
        <v>0</v>
      </c>
      <c r="J277" t="s">
        <v>17</v>
      </c>
      <c r="K277" t="s">
        <v>18</v>
      </c>
      <c r="L277" s="3">
        <f t="shared" si="8"/>
        <v>48234.629055007055</v>
      </c>
      <c r="M277" s="3">
        <f t="shared" si="9"/>
        <v>2326579440.074131</v>
      </c>
    </row>
    <row r="278" spans="1:13" customFormat="1">
      <c r="A278">
        <v>2023</v>
      </c>
      <c r="B278" t="s">
        <v>44</v>
      </c>
      <c r="C278" t="s">
        <v>14</v>
      </c>
      <c r="D278" t="s">
        <v>36</v>
      </c>
      <c r="E278">
        <v>140000</v>
      </c>
      <c r="F278" t="s">
        <v>16</v>
      </c>
      <c r="G278">
        <v>140000</v>
      </c>
      <c r="H278" t="s">
        <v>17</v>
      </c>
      <c r="I278">
        <v>0</v>
      </c>
      <c r="J278" t="s">
        <v>17</v>
      </c>
      <c r="K278" t="s">
        <v>18</v>
      </c>
      <c r="L278" s="3">
        <f t="shared" si="8"/>
        <v>33234.629055007055</v>
      </c>
      <c r="M278" s="3">
        <f t="shared" si="9"/>
        <v>1104540568.4239192</v>
      </c>
    </row>
    <row r="279" spans="1:13" customFormat="1">
      <c r="A279">
        <v>2023</v>
      </c>
      <c r="B279" t="s">
        <v>13</v>
      </c>
      <c r="C279" t="s">
        <v>14</v>
      </c>
      <c r="D279" t="s">
        <v>36</v>
      </c>
      <c r="E279">
        <v>204500</v>
      </c>
      <c r="F279" t="s">
        <v>16</v>
      </c>
      <c r="G279">
        <v>204500</v>
      </c>
      <c r="H279" t="s">
        <v>17</v>
      </c>
      <c r="I279">
        <v>0</v>
      </c>
      <c r="J279" t="s">
        <v>17</v>
      </c>
      <c r="K279" t="s">
        <v>18</v>
      </c>
      <c r="L279" s="3">
        <f t="shared" si="8"/>
        <v>97734.629055007055</v>
      </c>
      <c r="M279" s="3">
        <f t="shared" si="9"/>
        <v>9552057716.5198288</v>
      </c>
    </row>
    <row r="280" spans="1:13" customFormat="1">
      <c r="A280">
        <v>2023</v>
      </c>
      <c r="B280" t="s">
        <v>13</v>
      </c>
      <c r="C280" t="s">
        <v>14</v>
      </c>
      <c r="D280" t="s">
        <v>36</v>
      </c>
      <c r="E280">
        <v>138900</v>
      </c>
      <c r="F280" t="s">
        <v>16</v>
      </c>
      <c r="G280">
        <v>138900</v>
      </c>
      <c r="H280" t="s">
        <v>17</v>
      </c>
      <c r="I280">
        <v>0</v>
      </c>
      <c r="J280" t="s">
        <v>17</v>
      </c>
      <c r="K280" t="s">
        <v>18</v>
      </c>
      <c r="L280" s="3">
        <f t="shared" si="8"/>
        <v>32134.629055007055</v>
      </c>
      <c r="M280" s="3">
        <f t="shared" si="9"/>
        <v>1032634384.5029036</v>
      </c>
    </row>
    <row r="281" spans="1:13" customFormat="1">
      <c r="A281">
        <v>2023</v>
      </c>
      <c r="B281" t="s">
        <v>19</v>
      </c>
      <c r="C281" t="s">
        <v>14</v>
      </c>
      <c r="D281" t="s">
        <v>15</v>
      </c>
      <c r="E281">
        <v>130000</v>
      </c>
      <c r="F281" t="s">
        <v>16</v>
      </c>
      <c r="G281">
        <v>130000</v>
      </c>
      <c r="H281" t="s">
        <v>17</v>
      </c>
      <c r="I281">
        <v>0</v>
      </c>
      <c r="J281" t="s">
        <v>17</v>
      </c>
      <c r="K281" t="s">
        <v>18</v>
      </c>
      <c r="L281" s="3">
        <f t="shared" si="8"/>
        <v>23234.629055007055</v>
      </c>
      <c r="M281" s="3">
        <f t="shared" si="9"/>
        <v>539847987.32377803</v>
      </c>
    </row>
    <row r="282" spans="1:13" customFormat="1">
      <c r="A282">
        <v>2023</v>
      </c>
      <c r="B282" t="s">
        <v>19</v>
      </c>
      <c r="C282" t="s">
        <v>14</v>
      </c>
      <c r="D282" t="s">
        <v>15</v>
      </c>
      <c r="E282">
        <v>100000</v>
      </c>
      <c r="F282" t="s">
        <v>16</v>
      </c>
      <c r="G282">
        <v>100000</v>
      </c>
      <c r="H282" t="s">
        <v>17</v>
      </c>
      <c r="I282">
        <v>0</v>
      </c>
      <c r="J282" t="s">
        <v>17</v>
      </c>
      <c r="K282" t="s">
        <v>18</v>
      </c>
      <c r="L282" s="3">
        <f t="shared" si="8"/>
        <v>-6765.3709449929447</v>
      </c>
      <c r="M282" s="3">
        <f t="shared" si="9"/>
        <v>45770244.023354732</v>
      </c>
    </row>
    <row r="283" spans="1:13" customFormat="1">
      <c r="A283">
        <v>2023</v>
      </c>
      <c r="B283" t="s">
        <v>13</v>
      </c>
      <c r="C283" t="s">
        <v>14</v>
      </c>
      <c r="D283" t="s">
        <v>15</v>
      </c>
      <c r="E283">
        <v>153600</v>
      </c>
      <c r="F283" t="s">
        <v>16</v>
      </c>
      <c r="G283">
        <v>153600</v>
      </c>
      <c r="H283" t="s">
        <v>17</v>
      </c>
      <c r="I283">
        <v>0</v>
      </c>
      <c r="J283" t="s">
        <v>17</v>
      </c>
      <c r="K283" t="s">
        <v>18</v>
      </c>
      <c r="L283" s="3">
        <f t="shared" si="8"/>
        <v>46834.629055007055</v>
      </c>
      <c r="M283" s="3">
        <f t="shared" si="9"/>
        <v>2193482478.7201109</v>
      </c>
    </row>
    <row r="284" spans="1:13" customFormat="1">
      <c r="A284">
        <v>2023</v>
      </c>
      <c r="B284" t="s">
        <v>13</v>
      </c>
      <c r="C284" t="s">
        <v>14</v>
      </c>
      <c r="D284" t="s">
        <v>15</v>
      </c>
      <c r="E284">
        <v>106800</v>
      </c>
      <c r="F284" t="s">
        <v>16</v>
      </c>
      <c r="G284">
        <v>106800</v>
      </c>
      <c r="H284" t="s">
        <v>17</v>
      </c>
      <c r="I284">
        <v>0</v>
      </c>
      <c r="J284" t="s">
        <v>17</v>
      </c>
      <c r="K284" t="s">
        <v>18</v>
      </c>
      <c r="L284" s="3">
        <f t="shared" si="8"/>
        <v>34.629055007055285</v>
      </c>
      <c r="M284" s="3">
        <f t="shared" si="9"/>
        <v>1199.1714506816606</v>
      </c>
    </row>
    <row r="285" spans="1:13" customFormat="1">
      <c r="A285">
        <v>2023</v>
      </c>
      <c r="B285" t="s">
        <v>19</v>
      </c>
      <c r="C285" t="s">
        <v>14</v>
      </c>
      <c r="D285" t="s">
        <v>15</v>
      </c>
      <c r="E285">
        <v>150000</v>
      </c>
      <c r="F285" t="s">
        <v>16</v>
      </c>
      <c r="G285">
        <v>150000</v>
      </c>
      <c r="H285" t="s">
        <v>17</v>
      </c>
      <c r="I285">
        <v>0</v>
      </c>
      <c r="J285" t="s">
        <v>17</v>
      </c>
      <c r="K285" t="s">
        <v>18</v>
      </c>
      <c r="L285" s="3">
        <f t="shared" si="8"/>
        <v>43234.629055007055</v>
      </c>
      <c r="M285" s="3">
        <f t="shared" si="9"/>
        <v>1869233149.5240602</v>
      </c>
    </row>
    <row r="286" spans="1:13" customFormat="1">
      <c r="A286">
        <v>2023</v>
      </c>
      <c r="B286" t="s">
        <v>19</v>
      </c>
      <c r="C286" t="s">
        <v>14</v>
      </c>
      <c r="D286" t="s">
        <v>15</v>
      </c>
      <c r="E286">
        <v>100000</v>
      </c>
      <c r="F286" t="s">
        <v>16</v>
      </c>
      <c r="G286">
        <v>100000</v>
      </c>
      <c r="H286" t="s">
        <v>17</v>
      </c>
      <c r="I286">
        <v>0</v>
      </c>
      <c r="J286" t="s">
        <v>17</v>
      </c>
      <c r="K286" t="s">
        <v>18</v>
      </c>
      <c r="L286" s="3">
        <f t="shared" si="8"/>
        <v>-6765.3709449929447</v>
      </c>
      <c r="M286" s="3">
        <f t="shared" si="9"/>
        <v>45770244.023354732</v>
      </c>
    </row>
    <row r="287" spans="1:13" customFormat="1">
      <c r="A287">
        <v>2023</v>
      </c>
      <c r="B287" t="s">
        <v>13</v>
      </c>
      <c r="C287" t="s">
        <v>14</v>
      </c>
      <c r="D287" t="s">
        <v>15</v>
      </c>
      <c r="E287">
        <v>180180</v>
      </c>
      <c r="F287" t="s">
        <v>16</v>
      </c>
      <c r="G287">
        <v>180180</v>
      </c>
      <c r="H287" t="s">
        <v>17</v>
      </c>
      <c r="I287">
        <v>0</v>
      </c>
      <c r="J287" t="s">
        <v>17</v>
      </c>
      <c r="K287" t="s">
        <v>18</v>
      </c>
      <c r="L287" s="3">
        <f t="shared" si="8"/>
        <v>73414.629055007055</v>
      </c>
      <c r="M287" s="3">
        <f t="shared" si="9"/>
        <v>5389707759.2842865</v>
      </c>
    </row>
    <row r="288" spans="1:13" customFormat="1">
      <c r="A288">
        <v>2023</v>
      </c>
      <c r="B288" t="s">
        <v>13</v>
      </c>
      <c r="C288" t="s">
        <v>14</v>
      </c>
      <c r="D288" t="s">
        <v>15</v>
      </c>
      <c r="E288">
        <v>106020</v>
      </c>
      <c r="F288" t="s">
        <v>16</v>
      </c>
      <c r="G288">
        <v>106020</v>
      </c>
      <c r="H288" t="s">
        <v>17</v>
      </c>
      <c r="I288">
        <v>0</v>
      </c>
      <c r="J288" t="s">
        <v>17</v>
      </c>
      <c r="K288" t="s">
        <v>18</v>
      </c>
      <c r="L288" s="3">
        <f t="shared" si="8"/>
        <v>-745.37094499294471</v>
      </c>
      <c r="M288" s="3">
        <f t="shared" si="9"/>
        <v>555577.84563967539</v>
      </c>
    </row>
    <row r="289" spans="1:13" customFormat="1">
      <c r="A289">
        <v>2023</v>
      </c>
      <c r="B289" t="s">
        <v>13</v>
      </c>
      <c r="C289" t="s">
        <v>14</v>
      </c>
      <c r="D289" t="s">
        <v>15</v>
      </c>
      <c r="E289">
        <v>122000</v>
      </c>
      <c r="F289" t="s">
        <v>16</v>
      </c>
      <c r="G289">
        <v>122000</v>
      </c>
      <c r="H289" t="s">
        <v>17</v>
      </c>
      <c r="I289">
        <v>0</v>
      </c>
      <c r="J289" t="s">
        <v>17</v>
      </c>
      <c r="K289" t="s">
        <v>18</v>
      </c>
      <c r="L289" s="3">
        <f t="shared" si="8"/>
        <v>15234.629055007055</v>
      </c>
      <c r="M289" s="3">
        <f t="shared" si="9"/>
        <v>232093922.44366518</v>
      </c>
    </row>
    <row r="290" spans="1:13" customFormat="1">
      <c r="A290">
        <v>2023</v>
      </c>
      <c r="B290" t="s">
        <v>13</v>
      </c>
      <c r="C290" t="s">
        <v>14</v>
      </c>
      <c r="D290" t="s">
        <v>15</v>
      </c>
      <c r="E290">
        <v>94000</v>
      </c>
      <c r="F290" t="s">
        <v>16</v>
      </c>
      <c r="G290">
        <v>94000</v>
      </c>
      <c r="H290" t="s">
        <v>17</v>
      </c>
      <c r="I290">
        <v>0</v>
      </c>
      <c r="J290" t="s">
        <v>17</v>
      </c>
      <c r="K290" t="s">
        <v>18</v>
      </c>
      <c r="L290" s="3">
        <f t="shared" si="8"/>
        <v>-12765.370944992945</v>
      </c>
      <c r="M290" s="3">
        <f t="shared" si="9"/>
        <v>162954695.36327007</v>
      </c>
    </row>
    <row r="291" spans="1:13" customFormat="1">
      <c r="A291">
        <v>2023</v>
      </c>
      <c r="B291" t="s">
        <v>13</v>
      </c>
      <c r="C291" t="s">
        <v>14</v>
      </c>
      <c r="D291" t="s">
        <v>15</v>
      </c>
      <c r="E291">
        <v>175000</v>
      </c>
      <c r="F291" t="s">
        <v>16</v>
      </c>
      <c r="G291">
        <v>175000</v>
      </c>
      <c r="H291" t="s">
        <v>17</v>
      </c>
      <c r="I291">
        <v>0</v>
      </c>
      <c r="J291" t="s">
        <v>17</v>
      </c>
      <c r="K291" t="s">
        <v>18</v>
      </c>
      <c r="L291" s="3">
        <f t="shared" si="8"/>
        <v>68234.629055007055</v>
      </c>
      <c r="M291" s="3">
        <f t="shared" si="9"/>
        <v>4655964602.2744131</v>
      </c>
    </row>
    <row r="292" spans="1:13" customFormat="1">
      <c r="A292">
        <v>2023</v>
      </c>
      <c r="B292" t="s">
        <v>13</v>
      </c>
      <c r="C292" t="s">
        <v>14</v>
      </c>
      <c r="D292" t="s">
        <v>15</v>
      </c>
      <c r="E292">
        <v>145000</v>
      </c>
      <c r="F292" t="s">
        <v>16</v>
      </c>
      <c r="G292">
        <v>145000</v>
      </c>
      <c r="H292" t="s">
        <v>17</v>
      </c>
      <c r="I292">
        <v>0</v>
      </c>
      <c r="J292" t="s">
        <v>17</v>
      </c>
      <c r="K292" t="s">
        <v>18</v>
      </c>
      <c r="L292" s="3">
        <f t="shared" si="8"/>
        <v>38234.629055007055</v>
      </c>
      <c r="M292" s="3">
        <f t="shared" si="9"/>
        <v>1461886858.9739897</v>
      </c>
    </row>
    <row r="293" spans="1:13" customFormat="1">
      <c r="A293">
        <v>2023</v>
      </c>
      <c r="B293" t="s">
        <v>19</v>
      </c>
      <c r="C293" t="s">
        <v>14</v>
      </c>
      <c r="D293" t="s">
        <v>15</v>
      </c>
      <c r="E293">
        <v>103200</v>
      </c>
      <c r="F293" t="s">
        <v>16</v>
      </c>
      <c r="G293">
        <v>103200</v>
      </c>
      <c r="H293" t="s">
        <v>17</v>
      </c>
      <c r="I293">
        <v>0</v>
      </c>
      <c r="J293" t="s">
        <v>17</v>
      </c>
      <c r="K293" t="s">
        <v>18</v>
      </c>
      <c r="L293" s="3">
        <f t="shared" si="8"/>
        <v>-3565.3709449929447</v>
      </c>
      <c r="M293" s="3">
        <f t="shared" si="9"/>
        <v>12711869.975399883</v>
      </c>
    </row>
    <row r="294" spans="1:13" customFormat="1">
      <c r="A294">
        <v>2023</v>
      </c>
      <c r="B294" t="s">
        <v>19</v>
      </c>
      <c r="C294" t="s">
        <v>14</v>
      </c>
      <c r="D294" t="s">
        <v>15</v>
      </c>
      <c r="E294">
        <v>61200</v>
      </c>
      <c r="F294" t="s">
        <v>16</v>
      </c>
      <c r="G294">
        <v>61200</v>
      </c>
      <c r="H294" t="s">
        <v>17</v>
      </c>
      <c r="I294">
        <v>0</v>
      </c>
      <c r="J294" t="s">
        <v>17</v>
      </c>
      <c r="K294" t="s">
        <v>18</v>
      </c>
      <c r="L294" s="3">
        <f t="shared" si="8"/>
        <v>-45565.370944992945</v>
      </c>
      <c r="M294" s="3">
        <f t="shared" si="9"/>
        <v>2076203029.3548071</v>
      </c>
    </row>
    <row r="295" spans="1:13" customFormat="1">
      <c r="A295">
        <v>2023</v>
      </c>
      <c r="B295" t="s">
        <v>13</v>
      </c>
      <c r="C295" t="s">
        <v>14</v>
      </c>
      <c r="D295" t="s">
        <v>15</v>
      </c>
      <c r="E295">
        <v>130000</v>
      </c>
      <c r="F295" t="s">
        <v>16</v>
      </c>
      <c r="G295">
        <v>130000</v>
      </c>
      <c r="H295" t="s">
        <v>17</v>
      </c>
      <c r="I295">
        <v>100</v>
      </c>
      <c r="J295" t="s">
        <v>17</v>
      </c>
      <c r="K295" t="s">
        <v>18</v>
      </c>
      <c r="L295" s="3">
        <f t="shared" si="8"/>
        <v>23234.629055007055</v>
      </c>
      <c r="M295" s="3">
        <f t="shared" si="9"/>
        <v>539847987.32377803</v>
      </c>
    </row>
    <row r="296" spans="1:13" customFormat="1">
      <c r="A296">
        <v>2023</v>
      </c>
      <c r="B296" t="s">
        <v>13</v>
      </c>
      <c r="C296" t="s">
        <v>14</v>
      </c>
      <c r="D296" t="s">
        <v>15</v>
      </c>
      <c r="E296">
        <v>87000</v>
      </c>
      <c r="F296" t="s">
        <v>16</v>
      </c>
      <c r="G296">
        <v>87000</v>
      </c>
      <c r="H296" t="s">
        <v>17</v>
      </c>
      <c r="I296">
        <v>100</v>
      </c>
      <c r="J296" t="s">
        <v>17</v>
      </c>
      <c r="K296" t="s">
        <v>18</v>
      </c>
      <c r="L296" s="3">
        <f t="shared" si="8"/>
        <v>-19765.370944992945</v>
      </c>
      <c r="M296" s="3">
        <f t="shared" si="9"/>
        <v>390669888.5931713</v>
      </c>
    </row>
    <row r="297" spans="1:13" customFormat="1">
      <c r="A297">
        <v>2023</v>
      </c>
      <c r="B297" t="s">
        <v>13</v>
      </c>
      <c r="C297" t="s">
        <v>14</v>
      </c>
      <c r="D297" t="s">
        <v>15</v>
      </c>
      <c r="E297">
        <v>160000</v>
      </c>
      <c r="F297" t="s">
        <v>16</v>
      </c>
      <c r="G297">
        <v>160000</v>
      </c>
      <c r="H297" t="s">
        <v>17</v>
      </c>
      <c r="I297">
        <v>100</v>
      </c>
      <c r="J297" t="s">
        <v>17</v>
      </c>
      <c r="K297" t="s">
        <v>18</v>
      </c>
      <c r="L297" s="3">
        <f t="shared" si="8"/>
        <v>53234.629055007055</v>
      </c>
      <c r="M297" s="3">
        <f t="shared" si="9"/>
        <v>2833925730.6242013</v>
      </c>
    </row>
    <row r="298" spans="1:13" customFormat="1">
      <c r="A298">
        <v>2023</v>
      </c>
      <c r="B298" t="s">
        <v>13</v>
      </c>
      <c r="C298" t="s">
        <v>14</v>
      </c>
      <c r="D298" t="s">
        <v>15</v>
      </c>
      <c r="E298">
        <v>108000</v>
      </c>
      <c r="F298" t="s">
        <v>16</v>
      </c>
      <c r="G298">
        <v>108000</v>
      </c>
      <c r="H298" t="s">
        <v>17</v>
      </c>
      <c r="I298">
        <v>100</v>
      </c>
      <c r="J298" t="s">
        <v>17</v>
      </c>
      <c r="K298" t="s">
        <v>18</v>
      </c>
      <c r="L298" s="3">
        <f t="shared" si="8"/>
        <v>1234.6290550070553</v>
      </c>
      <c r="M298" s="3">
        <f t="shared" si="9"/>
        <v>1524308.9034676144</v>
      </c>
    </row>
    <row r="299" spans="1:13" customFormat="1">
      <c r="A299">
        <v>2023</v>
      </c>
      <c r="B299" t="s">
        <v>28</v>
      </c>
      <c r="C299" t="s">
        <v>14</v>
      </c>
      <c r="D299" t="s">
        <v>15</v>
      </c>
      <c r="E299">
        <v>30000</v>
      </c>
      <c r="F299" t="s">
        <v>16</v>
      </c>
      <c r="G299">
        <v>30000</v>
      </c>
      <c r="H299" t="s">
        <v>68</v>
      </c>
      <c r="I299">
        <v>100</v>
      </c>
      <c r="J299" t="s">
        <v>17</v>
      </c>
      <c r="K299" t="s">
        <v>57</v>
      </c>
      <c r="L299" s="3">
        <f t="shared" si="8"/>
        <v>-76765.370944992945</v>
      </c>
      <c r="M299" s="3">
        <f t="shared" si="9"/>
        <v>5892922176.3223667</v>
      </c>
    </row>
    <row r="300" spans="1:13" customFormat="1">
      <c r="A300">
        <v>2023</v>
      </c>
      <c r="B300" t="s">
        <v>19</v>
      </c>
      <c r="C300" t="s">
        <v>14</v>
      </c>
      <c r="D300" t="s">
        <v>15</v>
      </c>
      <c r="E300">
        <v>206000</v>
      </c>
      <c r="F300" t="s">
        <v>16</v>
      </c>
      <c r="G300">
        <v>206000</v>
      </c>
      <c r="H300" t="s">
        <v>17</v>
      </c>
      <c r="I300">
        <v>0</v>
      </c>
      <c r="J300" t="s">
        <v>17</v>
      </c>
      <c r="K300" t="s">
        <v>18</v>
      </c>
      <c r="L300" s="3">
        <f t="shared" si="8"/>
        <v>99234.629055007055</v>
      </c>
      <c r="M300" s="3">
        <f t="shared" si="9"/>
        <v>9847511603.6848507</v>
      </c>
    </row>
    <row r="301" spans="1:13" customFormat="1">
      <c r="A301">
        <v>2023</v>
      </c>
      <c r="B301" t="s">
        <v>19</v>
      </c>
      <c r="C301" t="s">
        <v>14</v>
      </c>
      <c r="D301" t="s">
        <v>15</v>
      </c>
      <c r="E301">
        <v>160000</v>
      </c>
      <c r="F301" t="s">
        <v>16</v>
      </c>
      <c r="G301">
        <v>160000</v>
      </c>
      <c r="H301" t="s">
        <v>17</v>
      </c>
      <c r="I301">
        <v>0</v>
      </c>
      <c r="J301" t="s">
        <v>17</v>
      </c>
      <c r="K301" t="s">
        <v>18</v>
      </c>
      <c r="L301" s="3">
        <f t="shared" si="8"/>
        <v>53234.629055007055</v>
      </c>
      <c r="M301" s="3">
        <f t="shared" si="9"/>
        <v>2833925730.6242013</v>
      </c>
    </row>
    <row r="302" spans="1:13" customFormat="1">
      <c r="A302">
        <v>2023</v>
      </c>
      <c r="B302" t="s">
        <v>19</v>
      </c>
      <c r="C302" t="s">
        <v>14</v>
      </c>
      <c r="D302" t="s">
        <v>15</v>
      </c>
      <c r="E302">
        <v>109000</v>
      </c>
      <c r="F302" t="s">
        <v>16</v>
      </c>
      <c r="G302">
        <v>109000</v>
      </c>
      <c r="H302" t="s">
        <v>17</v>
      </c>
      <c r="I302">
        <v>0</v>
      </c>
      <c r="J302" t="s">
        <v>17</v>
      </c>
      <c r="K302" t="s">
        <v>18</v>
      </c>
      <c r="L302" s="3">
        <f t="shared" si="8"/>
        <v>2234.6290550070553</v>
      </c>
      <c r="M302" s="3">
        <f t="shared" si="9"/>
        <v>4993567.013481725</v>
      </c>
    </row>
    <row r="303" spans="1:13" customFormat="1">
      <c r="A303">
        <v>2023</v>
      </c>
      <c r="B303" t="s">
        <v>19</v>
      </c>
      <c r="C303" t="s">
        <v>14</v>
      </c>
      <c r="D303" t="s">
        <v>15</v>
      </c>
      <c r="E303">
        <v>79000</v>
      </c>
      <c r="F303" t="s">
        <v>16</v>
      </c>
      <c r="G303">
        <v>79000</v>
      </c>
      <c r="H303" t="s">
        <v>17</v>
      </c>
      <c r="I303">
        <v>0</v>
      </c>
      <c r="J303" t="s">
        <v>17</v>
      </c>
      <c r="K303" t="s">
        <v>18</v>
      </c>
      <c r="L303" s="3">
        <f t="shared" si="8"/>
        <v>-27765.370944992945</v>
      </c>
      <c r="M303" s="3">
        <f t="shared" si="9"/>
        <v>770915823.71305835</v>
      </c>
    </row>
    <row r="304" spans="1:13" customFormat="1">
      <c r="A304">
        <v>2023</v>
      </c>
      <c r="B304" t="s">
        <v>13</v>
      </c>
      <c r="C304" t="s">
        <v>14</v>
      </c>
      <c r="D304" t="s">
        <v>15</v>
      </c>
      <c r="E304">
        <v>160000</v>
      </c>
      <c r="F304" t="s">
        <v>16</v>
      </c>
      <c r="G304">
        <v>160000</v>
      </c>
      <c r="H304" t="s">
        <v>17</v>
      </c>
      <c r="I304">
        <v>100</v>
      </c>
      <c r="J304" t="s">
        <v>17</v>
      </c>
      <c r="K304" t="s">
        <v>18</v>
      </c>
      <c r="L304" s="3">
        <f t="shared" si="8"/>
        <v>53234.629055007055</v>
      </c>
      <c r="M304" s="3">
        <f t="shared" si="9"/>
        <v>2833925730.6242013</v>
      </c>
    </row>
    <row r="305" spans="1:13" customFormat="1">
      <c r="A305">
        <v>2023</v>
      </c>
      <c r="B305" t="s">
        <v>13</v>
      </c>
      <c r="C305" t="s">
        <v>14</v>
      </c>
      <c r="D305" t="s">
        <v>15</v>
      </c>
      <c r="E305">
        <v>125600</v>
      </c>
      <c r="F305" t="s">
        <v>16</v>
      </c>
      <c r="G305">
        <v>125600</v>
      </c>
      <c r="H305" t="s">
        <v>17</v>
      </c>
      <c r="I305">
        <v>100</v>
      </c>
      <c r="J305" t="s">
        <v>17</v>
      </c>
      <c r="K305" t="s">
        <v>18</v>
      </c>
      <c r="L305" s="3">
        <f t="shared" si="8"/>
        <v>18834.629055007055</v>
      </c>
      <c r="M305" s="3">
        <f t="shared" si="9"/>
        <v>354743251.63971597</v>
      </c>
    </row>
    <row r="306" spans="1:13" customFormat="1">
      <c r="A306">
        <v>2023</v>
      </c>
      <c r="B306" t="s">
        <v>13</v>
      </c>
      <c r="C306" t="s">
        <v>14</v>
      </c>
      <c r="D306" t="s">
        <v>15</v>
      </c>
      <c r="E306">
        <v>141290</v>
      </c>
      <c r="F306" t="s">
        <v>16</v>
      </c>
      <c r="G306">
        <v>141290</v>
      </c>
      <c r="H306" t="s">
        <v>17</v>
      </c>
      <c r="I306">
        <v>0</v>
      </c>
      <c r="J306" t="s">
        <v>17</v>
      </c>
      <c r="K306" t="s">
        <v>18</v>
      </c>
      <c r="L306" s="3">
        <f t="shared" si="8"/>
        <v>34524.629055007055</v>
      </c>
      <c r="M306" s="3">
        <f t="shared" si="9"/>
        <v>1191950011.3858373</v>
      </c>
    </row>
    <row r="307" spans="1:13" customFormat="1">
      <c r="A307">
        <v>2023</v>
      </c>
      <c r="B307" t="s">
        <v>13</v>
      </c>
      <c r="C307" t="s">
        <v>14</v>
      </c>
      <c r="D307" t="s">
        <v>15</v>
      </c>
      <c r="E307">
        <v>74178</v>
      </c>
      <c r="F307" t="s">
        <v>16</v>
      </c>
      <c r="G307">
        <v>74178</v>
      </c>
      <c r="H307" t="s">
        <v>17</v>
      </c>
      <c r="I307">
        <v>0</v>
      </c>
      <c r="J307" t="s">
        <v>17</v>
      </c>
      <c r="K307" t="s">
        <v>18</v>
      </c>
      <c r="L307" s="3">
        <f t="shared" si="8"/>
        <v>-32587.370944992945</v>
      </c>
      <c r="M307" s="3">
        <f t="shared" si="9"/>
        <v>1061936745.1065704</v>
      </c>
    </row>
    <row r="308" spans="1:13" customFormat="1">
      <c r="A308">
        <v>2023</v>
      </c>
      <c r="B308" t="s">
        <v>19</v>
      </c>
      <c r="C308" t="s">
        <v>14</v>
      </c>
      <c r="D308" t="s">
        <v>15</v>
      </c>
      <c r="E308">
        <v>80000</v>
      </c>
      <c r="F308" t="s">
        <v>16</v>
      </c>
      <c r="G308">
        <v>80000</v>
      </c>
      <c r="H308" t="s">
        <v>17</v>
      </c>
      <c r="I308">
        <v>0</v>
      </c>
      <c r="J308" t="s">
        <v>17</v>
      </c>
      <c r="K308" t="s">
        <v>18</v>
      </c>
      <c r="L308" s="3">
        <f t="shared" si="8"/>
        <v>-26765.370944992945</v>
      </c>
      <c r="M308" s="3">
        <f t="shared" si="9"/>
        <v>716385081.82307255</v>
      </c>
    </row>
    <row r="309" spans="1:13" customFormat="1">
      <c r="A309">
        <v>2023</v>
      </c>
      <c r="B309" t="s">
        <v>19</v>
      </c>
      <c r="C309" t="s">
        <v>14</v>
      </c>
      <c r="D309" t="s">
        <v>15</v>
      </c>
      <c r="E309">
        <v>52500</v>
      </c>
      <c r="F309" t="s">
        <v>16</v>
      </c>
      <c r="G309">
        <v>52500</v>
      </c>
      <c r="H309" t="s">
        <v>17</v>
      </c>
      <c r="I309">
        <v>0</v>
      </c>
      <c r="J309" t="s">
        <v>17</v>
      </c>
      <c r="K309" t="s">
        <v>18</v>
      </c>
      <c r="L309" s="3">
        <f t="shared" si="8"/>
        <v>-54265.370944992945</v>
      </c>
      <c r="M309" s="3">
        <f t="shared" si="9"/>
        <v>2944730483.7976847</v>
      </c>
    </row>
    <row r="310" spans="1:13" customFormat="1">
      <c r="A310">
        <v>2023</v>
      </c>
      <c r="B310" t="s">
        <v>13</v>
      </c>
      <c r="C310" t="s">
        <v>14</v>
      </c>
      <c r="D310" t="s">
        <v>54</v>
      </c>
      <c r="E310">
        <v>125000</v>
      </c>
      <c r="F310" t="s">
        <v>16</v>
      </c>
      <c r="G310">
        <v>125000</v>
      </c>
      <c r="H310" t="s">
        <v>17</v>
      </c>
      <c r="I310">
        <v>0</v>
      </c>
      <c r="J310" t="s">
        <v>17</v>
      </c>
      <c r="K310" t="s">
        <v>18</v>
      </c>
      <c r="L310" s="3">
        <f t="shared" si="8"/>
        <v>18234.629055007055</v>
      </c>
      <c r="M310" s="3">
        <f t="shared" si="9"/>
        <v>332501696.77370751</v>
      </c>
    </row>
    <row r="311" spans="1:13" customFormat="1">
      <c r="A311">
        <v>2023</v>
      </c>
      <c r="B311" t="s">
        <v>13</v>
      </c>
      <c r="C311" t="s">
        <v>14</v>
      </c>
      <c r="D311" t="s">
        <v>54</v>
      </c>
      <c r="E311">
        <v>110000</v>
      </c>
      <c r="F311" t="s">
        <v>16</v>
      </c>
      <c r="G311">
        <v>110000</v>
      </c>
      <c r="H311" t="s">
        <v>17</v>
      </c>
      <c r="I311">
        <v>0</v>
      </c>
      <c r="J311" t="s">
        <v>17</v>
      </c>
      <c r="K311" t="s">
        <v>18</v>
      </c>
      <c r="L311" s="3">
        <f t="shared" si="8"/>
        <v>3234.6290550070553</v>
      </c>
      <c r="M311" s="3">
        <f t="shared" si="9"/>
        <v>10462825.123495836</v>
      </c>
    </row>
    <row r="312" spans="1:13" customFormat="1">
      <c r="A312">
        <v>2023</v>
      </c>
      <c r="B312" t="s">
        <v>19</v>
      </c>
      <c r="C312" t="s">
        <v>14</v>
      </c>
      <c r="D312" t="s">
        <v>15</v>
      </c>
      <c r="E312">
        <v>90000</v>
      </c>
      <c r="F312" t="s">
        <v>16</v>
      </c>
      <c r="G312">
        <v>90000</v>
      </c>
      <c r="H312" t="s">
        <v>17</v>
      </c>
      <c r="I312">
        <v>0</v>
      </c>
      <c r="J312" t="s">
        <v>17</v>
      </c>
      <c r="K312" t="s">
        <v>18</v>
      </c>
      <c r="L312" s="3">
        <f t="shared" si="8"/>
        <v>-16765.370944992945</v>
      </c>
      <c r="M312" s="3">
        <f t="shared" si="9"/>
        <v>281077662.9232136</v>
      </c>
    </row>
    <row r="313" spans="1:13" customFormat="1">
      <c r="A313">
        <v>2023</v>
      </c>
      <c r="B313" t="s">
        <v>19</v>
      </c>
      <c r="C313" t="s">
        <v>14</v>
      </c>
      <c r="D313" t="s">
        <v>15</v>
      </c>
      <c r="E313">
        <v>80000</v>
      </c>
      <c r="F313" t="s">
        <v>16</v>
      </c>
      <c r="G313">
        <v>80000</v>
      </c>
      <c r="H313" t="s">
        <v>17</v>
      </c>
      <c r="I313">
        <v>0</v>
      </c>
      <c r="J313" t="s">
        <v>17</v>
      </c>
      <c r="K313" t="s">
        <v>18</v>
      </c>
      <c r="L313" s="3">
        <f t="shared" si="8"/>
        <v>-26765.370944992945</v>
      </c>
      <c r="M313" s="3">
        <f t="shared" si="9"/>
        <v>716385081.82307255</v>
      </c>
    </row>
    <row r="314" spans="1:13" customFormat="1">
      <c r="A314">
        <v>2022</v>
      </c>
      <c r="B314" t="s">
        <v>28</v>
      </c>
      <c r="C314" t="s">
        <v>14</v>
      </c>
      <c r="D314" t="s">
        <v>40</v>
      </c>
      <c r="E314">
        <v>48000</v>
      </c>
      <c r="F314" t="s">
        <v>16</v>
      </c>
      <c r="G314">
        <v>48000</v>
      </c>
      <c r="H314" t="s">
        <v>17</v>
      </c>
      <c r="I314">
        <v>50</v>
      </c>
      <c r="J314" t="s">
        <v>17</v>
      </c>
      <c r="K314" t="s">
        <v>31</v>
      </c>
      <c r="L314" s="3">
        <f t="shared" si="8"/>
        <v>-58765.370944992945</v>
      </c>
      <c r="M314" s="3">
        <f t="shared" si="9"/>
        <v>3453368822.3026209</v>
      </c>
    </row>
    <row r="315" spans="1:13" customFormat="1">
      <c r="A315">
        <v>2023</v>
      </c>
      <c r="B315" t="s">
        <v>19</v>
      </c>
      <c r="C315" t="s">
        <v>14</v>
      </c>
      <c r="D315" t="s">
        <v>15</v>
      </c>
      <c r="E315">
        <v>150000</v>
      </c>
      <c r="F315" t="s">
        <v>16</v>
      </c>
      <c r="G315">
        <v>150000</v>
      </c>
      <c r="H315" t="s">
        <v>17</v>
      </c>
      <c r="I315">
        <v>0</v>
      </c>
      <c r="J315" t="s">
        <v>17</v>
      </c>
      <c r="K315" t="s">
        <v>18</v>
      </c>
      <c r="L315" s="3">
        <f t="shared" si="8"/>
        <v>43234.629055007055</v>
      </c>
      <c r="M315" s="3">
        <f t="shared" si="9"/>
        <v>1869233149.5240602</v>
      </c>
    </row>
    <row r="316" spans="1:13" customFormat="1">
      <c r="A316">
        <v>2023</v>
      </c>
      <c r="B316" t="s">
        <v>19</v>
      </c>
      <c r="C316" t="s">
        <v>14</v>
      </c>
      <c r="D316" t="s">
        <v>15</v>
      </c>
      <c r="E316">
        <v>100000</v>
      </c>
      <c r="F316" t="s">
        <v>16</v>
      </c>
      <c r="G316">
        <v>100000</v>
      </c>
      <c r="H316" t="s">
        <v>17</v>
      </c>
      <c r="I316">
        <v>0</v>
      </c>
      <c r="J316" t="s">
        <v>17</v>
      </c>
      <c r="K316" t="s">
        <v>18</v>
      </c>
      <c r="L316" s="3">
        <f t="shared" si="8"/>
        <v>-6765.3709449929447</v>
      </c>
      <c r="M316" s="3">
        <f t="shared" si="9"/>
        <v>45770244.023354732</v>
      </c>
    </row>
    <row r="317" spans="1:13" customFormat="1">
      <c r="A317">
        <v>2023</v>
      </c>
      <c r="B317" t="s">
        <v>28</v>
      </c>
      <c r="C317" t="s">
        <v>14</v>
      </c>
      <c r="D317" t="s">
        <v>40</v>
      </c>
      <c r="E317">
        <v>12000</v>
      </c>
      <c r="F317" t="s">
        <v>49</v>
      </c>
      <c r="G317">
        <v>12877</v>
      </c>
      <c r="H317" t="s">
        <v>69</v>
      </c>
      <c r="I317">
        <v>50</v>
      </c>
      <c r="J317" t="s">
        <v>69</v>
      </c>
      <c r="K317" t="s">
        <v>31</v>
      </c>
      <c r="L317" s="3">
        <f t="shared" si="8"/>
        <v>-93888.370944992945</v>
      </c>
      <c r="M317" s="3">
        <f t="shared" si="9"/>
        <v>8815026198.7045956</v>
      </c>
    </row>
    <row r="318" spans="1:13" customFormat="1">
      <c r="A318">
        <v>2023</v>
      </c>
      <c r="B318" t="s">
        <v>19</v>
      </c>
      <c r="C318" t="s">
        <v>14</v>
      </c>
      <c r="D318" t="s">
        <v>70</v>
      </c>
      <c r="E318">
        <v>1440000</v>
      </c>
      <c r="F318" t="s">
        <v>52</v>
      </c>
      <c r="G318">
        <v>17509</v>
      </c>
      <c r="H318" t="s">
        <v>53</v>
      </c>
      <c r="I318">
        <v>50</v>
      </c>
      <c r="J318" t="s">
        <v>71</v>
      </c>
      <c r="K318" t="s">
        <v>18</v>
      </c>
      <c r="L318" s="3">
        <f t="shared" si="8"/>
        <v>-89256.370944992945</v>
      </c>
      <c r="M318" s="3">
        <f t="shared" si="9"/>
        <v>7966699754.2701807</v>
      </c>
    </row>
    <row r="319" spans="1:13" customFormat="1">
      <c r="A319">
        <v>2023</v>
      </c>
      <c r="B319" t="s">
        <v>13</v>
      </c>
      <c r="C319" t="s">
        <v>14</v>
      </c>
      <c r="D319" t="s">
        <v>15</v>
      </c>
      <c r="E319">
        <v>48000</v>
      </c>
      <c r="F319" t="s">
        <v>49</v>
      </c>
      <c r="G319">
        <v>51508</v>
      </c>
      <c r="H319" t="s">
        <v>50</v>
      </c>
      <c r="I319">
        <v>0</v>
      </c>
      <c r="J319" t="s">
        <v>50</v>
      </c>
      <c r="K319" t="s">
        <v>18</v>
      </c>
      <c r="L319" s="3">
        <f t="shared" si="8"/>
        <v>-55257.370944992945</v>
      </c>
      <c r="M319" s="3">
        <f t="shared" si="9"/>
        <v>3053377043.7525506</v>
      </c>
    </row>
    <row r="320" spans="1:13" customFormat="1">
      <c r="A320">
        <v>2023</v>
      </c>
      <c r="B320" t="s">
        <v>13</v>
      </c>
      <c r="C320" t="s">
        <v>14</v>
      </c>
      <c r="D320" t="s">
        <v>15</v>
      </c>
      <c r="E320">
        <v>38000</v>
      </c>
      <c r="F320" t="s">
        <v>49</v>
      </c>
      <c r="G320">
        <v>40777</v>
      </c>
      <c r="H320" t="s">
        <v>50</v>
      </c>
      <c r="I320">
        <v>0</v>
      </c>
      <c r="J320" t="s">
        <v>50</v>
      </c>
      <c r="K320" t="s">
        <v>18</v>
      </c>
      <c r="L320" s="3">
        <f t="shared" si="8"/>
        <v>-65988.370944992945</v>
      </c>
      <c r="M320" s="3">
        <f t="shared" si="9"/>
        <v>4354465099.9739895</v>
      </c>
    </row>
    <row r="321" spans="1:13" customFormat="1">
      <c r="A321">
        <v>2023</v>
      </c>
      <c r="B321" t="s">
        <v>13</v>
      </c>
      <c r="C321" t="s">
        <v>14</v>
      </c>
      <c r="D321" t="s">
        <v>15</v>
      </c>
      <c r="E321">
        <v>48000</v>
      </c>
      <c r="F321" t="s">
        <v>49</v>
      </c>
      <c r="G321">
        <v>51508</v>
      </c>
      <c r="H321" t="s">
        <v>50</v>
      </c>
      <c r="I321">
        <v>0</v>
      </c>
      <c r="J321" t="s">
        <v>50</v>
      </c>
      <c r="K321" t="s">
        <v>18</v>
      </c>
      <c r="L321" s="3">
        <f t="shared" si="8"/>
        <v>-55257.370944992945</v>
      </c>
      <c r="M321" s="3">
        <f t="shared" si="9"/>
        <v>3053377043.7525506</v>
      </c>
    </row>
    <row r="322" spans="1:13" customFormat="1">
      <c r="A322">
        <v>2023</v>
      </c>
      <c r="B322" t="s">
        <v>13</v>
      </c>
      <c r="C322" t="s">
        <v>14</v>
      </c>
      <c r="D322" t="s">
        <v>15</v>
      </c>
      <c r="E322">
        <v>38000</v>
      </c>
      <c r="F322" t="s">
        <v>49</v>
      </c>
      <c r="G322">
        <v>40777</v>
      </c>
      <c r="H322" t="s">
        <v>50</v>
      </c>
      <c r="I322">
        <v>0</v>
      </c>
      <c r="J322" t="s">
        <v>50</v>
      </c>
      <c r="K322" t="s">
        <v>18</v>
      </c>
      <c r="L322" s="3">
        <f t="shared" si="8"/>
        <v>-65988.370944992945</v>
      </c>
      <c r="M322" s="3">
        <f t="shared" si="9"/>
        <v>4354465099.9739895</v>
      </c>
    </row>
    <row r="323" spans="1:13" customFormat="1">
      <c r="A323">
        <v>2023</v>
      </c>
      <c r="B323" t="s">
        <v>19</v>
      </c>
      <c r="C323" t="s">
        <v>14</v>
      </c>
      <c r="D323" t="s">
        <v>15</v>
      </c>
      <c r="E323">
        <v>120000</v>
      </c>
      <c r="F323" t="s">
        <v>16</v>
      </c>
      <c r="G323">
        <v>120000</v>
      </c>
      <c r="H323" t="s">
        <v>17</v>
      </c>
      <c r="I323">
        <v>100</v>
      </c>
      <c r="J323" t="s">
        <v>17</v>
      </c>
      <c r="K323" t="s">
        <v>18</v>
      </c>
      <c r="L323" s="3">
        <f t="shared" ref="L323:L386" si="10">G323-$P$5</f>
        <v>13234.629055007055</v>
      </c>
      <c r="M323" s="3">
        <f t="shared" ref="M323:M386" si="11">L323^2</f>
        <v>175155406.22363696</v>
      </c>
    </row>
    <row r="324" spans="1:13" customFormat="1">
      <c r="A324">
        <v>2023</v>
      </c>
      <c r="B324" t="s">
        <v>19</v>
      </c>
      <c r="C324" t="s">
        <v>14</v>
      </c>
      <c r="D324" t="s">
        <v>15</v>
      </c>
      <c r="E324">
        <v>100000</v>
      </c>
      <c r="F324" t="s">
        <v>16</v>
      </c>
      <c r="G324">
        <v>100000</v>
      </c>
      <c r="H324" t="s">
        <v>17</v>
      </c>
      <c r="I324">
        <v>100</v>
      </c>
      <c r="J324" t="s">
        <v>17</v>
      </c>
      <c r="K324" t="s">
        <v>18</v>
      </c>
      <c r="L324" s="3">
        <f t="shared" si="10"/>
        <v>-6765.3709449929447</v>
      </c>
      <c r="M324" s="3">
        <f t="shared" si="11"/>
        <v>45770244.023354732</v>
      </c>
    </row>
    <row r="325" spans="1:13" customFormat="1">
      <c r="A325">
        <v>2023</v>
      </c>
      <c r="B325" t="s">
        <v>13</v>
      </c>
      <c r="C325" t="s">
        <v>14</v>
      </c>
      <c r="D325" t="s">
        <v>15</v>
      </c>
      <c r="E325">
        <v>145000</v>
      </c>
      <c r="F325" t="s">
        <v>16</v>
      </c>
      <c r="G325">
        <v>145000</v>
      </c>
      <c r="H325" t="s">
        <v>17</v>
      </c>
      <c r="I325">
        <v>100</v>
      </c>
      <c r="J325" t="s">
        <v>17</v>
      </c>
      <c r="K325" t="s">
        <v>18</v>
      </c>
      <c r="L325" s="3">
        <f t="shared" si="10"/>
        <v>38234.629055007055</v>
      </c>
      <c r="M325" s="3">
        <f t="shared" si="11"/>
        <v>1461886858.9739897</v>
      </c>
    </row>
    <row r="326" spans="1:13" customFormat="1">
      <c r="A326">
        <v>2023</v>
      </c>
      <c r="B326" t="s">
        <v>13</v>
      </c>
      <c r="C326" t="s">
        <v>14</v>
      </c>
      <c r="D326" t="s">
        <v>15</v>
      </c>
      <c r="E326">
        <v>102500</v>
      </c>
      <c r="F326" t="s">
        <v>16</v>
      </c>
      <c r="G326">
        <v>102500</v>
      </c>
      <c r="H326" t="s">
        <v>17</v>
      </c>
      <c r="I326">
        <v>100</v>
      </c>
      <c r="J326" t="s">
        <v>17</v>
      </c>
      <c r="K326" t="s">
        <v>18</v>
      </c>
      <c r="L326" s="3">
        <f t="shared" si="10"/>
        <v>-4265.3709449929447</v>
      </c>
      <c r="M326" s="3">
        <f t="shared" si="11"/>
        <v>18193389.298390005</v>
      </c>
    </row>
    <row r="327" spans="1:13" customFormat="1">
      <c r="A327">
        <v>2023</v>
      </c>
      <c r="B327" t="s">
        <v>19</v>
      </c>
      <c r="C327" t="s">
        <v>14</v>
      </c>
      <c r="D327" t="s">
        <v>15</v>
      </c>
      <c r="E327">
        <v>135000</v>
      </c>
      <c r="F327" t="s">
        <v>16</v>
      </c>
      <c r="G327">
        <v>135000</v>
      </c>
      <c r="H327" t="s">
        <v>17</v>
      </c>
      <c r="I327">
        <v>0</v>
      </c>
      <c r="J327" t="s">
        <v>17</v>
      </c>
      <c r="K327" t="s">
        <v>18</v>
      </c>
      <c r="L327" s="3">
        <f t="shared" si="10"/>
        <v>28234.629055007055</v>
      </c>
      <c r="M327" s="3">
        <f t="shared" si="11"/>
        <v>797194277.87384856</v>
      </c>
    </row>
    <row r="328" spans="1:13" customFormat="1">
      <c r="A328">
        <v>2023</v>
      </c>
      <c r="B328" t="s">
        <v>19</v>
      </c>
      <c r="C328" t="s">
        <v>14</v>
      </c>
      <c r="D328" t="s">
        <v>15</v>
      </c>
      <c r="E328">
        <v>105500</v>
      </c>
      <c r="F328" t="s">
        <v>16</v>
      </c>
      <c r="G328">
        <v>105500</v>
      </c>
      <c r="H328" t="s">
        <v>17</v>
      </c>
      <c r="I328">
        <v>0</v>
      </c>
      <c r="J328" t="s">
        <v>17</v>
      </c>
      <c r="K328" t="s">
        <v>18</v>
      </c>
      <c r="L328" s="3">
        <f t="shared" si="10"/>
        <v>-1265.3709449929447</v>
      </c>
      <c r="M328" s="3">
        <f t="shared" si="11"/>
        <v>1601163.6284323379</v>
      </c>
    </row>
    <row r="329" spans="1:13" customFormat="1">
      <c r="A329">
        <v>2023</v>
      </c>
      <c r="B329" t="s">
        <v>19</v>
      </c>
      <c r="C329" t="s">
        <v>14</v>
      </c>
      <c r="D329" t="s">
        <v>15</v>
      </c>
      <c r="E329">
        <v>65000</v>
      </c>
      <c r="F329" t="s">
        <v>41</v>
      </c>
      <c r="G329">
        <v>78990</v>
      </c>
      <c r="H329" t="s">
        <v>42</v>
      </c>
      <c r="I329">
        <v>0</v>
      </c>
      <c r="J329" t="s">
        <v>42</v>
      </c>
      <c r="K329" t="s">
        <v>18</v>
      </c>
      <c r="L329" s="3">
        <f t="shared" si="10"/>
        <v>-27775.370944992945</v>
      </c>
      <c r="M329" s="3">
        <f t="shared" si="11"/>
        <v>771471231.13195825</v>
      </c>
    </row>
    <row r="330" spans="1:13" customFormat="1">
      <c r="A330">
        <v>2023</v>
      </c>
      <c r="B330" t="s">
        <v>19</v>
      </c>
      <c r="C330" t="s">
        <v>14</v>
      </c>
      <c r="D330" t="s">
        <v>15</v>
      </c>
      <c r="E330">
        <v>36050</v>
      </c>
      <c r="F330" t="s">
        <v>41</v>
      </c>
      <c r="G330">
        <v>43809</v>
      </c>
      <c r="H330" t="s">
        <v>42</v>
      </c>
      <c r="I330">
        <v>0</v>
      </c>
      <c r="J330" t="s">
        <v>42</v>
      </c>
      <c r="K330" t="s">
        <v>18</v>
      </c>
      <c r="L330" s="3">
        <f t="shared" si="10"/>
        <v>-62956.370944992945</v>
      </c>
      <c r="M330" s="3">
        <f t="shared" si="11"/>
        <v>3963504642.5635519</v>
      </c>
    </row>
    <row r="331" spans="1:13" customFormat="1">
      <c r="A331">
        <v>2023</v>
      </c>
      <c r="B331" t="s">
        <v>19</v>
      </c>
      <c r="C331" t="s">
        <v>14</v>
      </c>
      <c r="D331" t="s">
        <v>15</v>
      </c>
      <c r="E331">
        <v>116000</v>
      </c>
      <c r="F331" t="s">
        <v>16</v>
      </c>
      <c r="G331">
        <v>116000</v>
      </c>
      <c r="H331" t="s">
        <v>17</v>
      </c>
      <c r="I331">
        <v>0</v>
      </c>
      <c r="J331" t="s">
        <v>17</v>
      </c>
      <c r="K331" t="s">
        <v>18</v>
      </c>
      <c r="L331" s="3">
        <f t="shared" si="10"/>
        <v>9234.6290550070553</v>
      </c>
      <c r="M331" s="3">
        <f t="shared" si="11"/>
        <v>85278373.783580497</v>
      </c>
    </row>
    <row r="332" spans="1:13" customFormat="1">
      <c r="A332">
        <v>2023</v>
      </c>
      <c r="B332" t="s">
        <v>19</v>
      </c>
      <c r="C332" t="s">
        <v>14</v>
      </c>
      <c r="D332" t="s">
        <v>15</v>
      </c>
      <c r="E332">
        <v>72000</v>
      </c>
      <c r="F332" t="s">
        <v>16</v>
      </c>
      <c r="G332">
        <v>72000</v>
      </c>
      <c r="H332" t="s">
        <v>17</v>
      </c>
      <c r="I332">
        <v>0</v>
      </c>
      <c r="J332" t="s">
        <v>17</v>
      </c>
      <c r="K332" t="s">
        <v>18</v>
      </c>
      <c r="L332" s="3">
        <f t="shared" si="10"/>
        <v>-34765.370944992945</v>
      </c>
      <c r="M332" s="3">
        <f t="shared" si="11"/>
        <v>1208631016.9429595</v>
      </c>
    </row>
    <row r="333" spans="1:13" customFormat="1">
      <c r="A333">
        <v>2023</v>
      </c>
      <c r="B333" t="s">
        <v>19</v>
      </c>
      <c r="C333" t="s">
        <v>14</v>
      </c>
      <c r="D333" t="s">
        <v>15</v>
      </c>
      <c r="E333">
        <v>120000</v>
      </c>
      <c r="F333" t="s">
        <v>16</v>
      </c>
      <c r="G333">
        <v>120000</v>
      </c>
      <c r="H333" t="s">
        <v>17</v>
      </c>
      <c r="I333">
        <v>0</v>
      </c>
      <c r="J333" t="s">
        <v>17</v>
      </c>
      <c r="K333" t="s">
        <v>18</v>
      </c>
      <c r="L333" s="3">
        <f t="shared" si="10"/>
        <v>13234.629055007055</v>
      </c>
      <c r="M333" s="3">
        <f t="shared" si="11"/>
        <v>175155406.22363696</v>
      </c>
    </row>
    <row r="334" spans="1:13" customFormat="1">
      <c r="A334">
        <v>2023</v>
      </c>
      <c r="B334" t="s">
        <v>19</v>
      </c>
      <c r="C334" t="s">
        <v>14</v>
      </c>
      <c r="D334" t="s">
        <v>15</v>
      </c>
      <c r="E334">
        <v>80000</v>
      </c>
      <c r="F334" t="s">
        <v>16</v>
      </c>
      <c r="G334">
        <v>80000</v>
      </c>
      <c r="H334" t="s">
        <v>17</v>
      </c>
      <c r="I334">
        <v>0</v>
      </c>
      <c r="J334" t="s">
        <v>17</v>
      </c>
      <c r="K334" t="s">
        <v>18</v>
      </c>
      <c r="L334" s="3">
        <f t="shared" si="10"/>
        <v>-26765.370944992945</v>
      </c>
      <c r="M334" s="3">
        <f t="shared" si="11"/>
        <v>716385081.82307255</v>
      </c>
    </row>
    <row r="335" spans="1:13" customFormat="1">
      <c r="A335">
        <v>2023</v>
      </c>
      <c r="B335" t="s">
        <v>19</v>
      </c>
      <c r="C335" t="s">
        <v>14</v>
      </c>
      <c r="D335" t="s">
        <v>15</v>
      </c>
      <c r="E335">
        <v>150000</v>
      </c>
      <c r="F335" t="s">
        <v>16</v>
      </c>
      <c r="G335">
        <v>150000</v>
      </c>
      <c r="H335" t="s">
        <v>17</v>
      </c>
      <c r="I335">
        <v>0</v>
      </c>
      <c r="J335" t="s">
        <v>17</v>
      </c>
      <c r="K335" t="s">
        <v>18</v>
      </c>
      <c r="L335" s="3">
        <f t="shared" si="10"/>
        <v>43234.629055007055</v>
      </c>
      <c r="M335" s="3">
        <f t="shared" si="11"/>
        <v>1869233149.5240602</v>
      </c>
    </row>
    <row r="336" spans="1:13" customFormat="1">
      <c r="A336">
        <v>2023</v>
      </c>
      <c r="B336" t="s">
        <v>19</v>
      </c>
      <c r="C336" t="s">
        <v>14</v>
      </c>
      <c r="D336" t="s">
        <v>15</v>
      </c>
      <c r="E336">
        <v>100000</v>
      </c>
      <c r="F336" t="s">
        <v>16</v>
      </c>
      <c r="G336">
        <v>100000</v>
      </c>
      <c r="H336" t="s">
        <v>17</v>
      </c>
      <c r="I336">
        <v>0</v>
      </c>
      <c r="J336" t="s">
        <v>17</v>
      </c>
      <c r="K336" t="s">
        <v>18</v>
      </c>
      <c r="L336" s="3">
        <f t="shared" si="10"/>
        <v>-6765.3709449929447</v>
      </c>
      <c r="M336" s="3">
        <f t="shared" si="11"/>
        <v>45770244.023354732</v>
      </c>
    </row>
    <row r="337" spans="1:13" customFormat="1">
      <c r="A337">
        <v>2023</v>
      </c>
      <c r="B337" t="s">
        <v>13</v>
      </c>
      <c r="C337" t="s">
        <v>14</v>
      </c>
      <c r="D337" t="s">
        <v>15</v>
      </c>
      <c r="E337">
        <v>240500</v>
      </c>
      <c r="F337" t="s">
        <v>16</v>
      </c>
      <c r="G337">
        <v>240500</v>
      </c>
      <c r="H337" t="s">
        <v>17</v>
      </c>
      <c r="I337">
        <v>0</v>
      </c>
      <c r="J337" t="s">
        <v>17</v>
      </c>
      <c r="K337" t="s">
        <v>18</v>
      </c>
      <c r="L337" s="3">
        <f t="shared" si="10"/>
        <v>133734.62905500707</v>
      </c>
      <c r="M337" s="3">
        <f t="shared" si="11"/>
        <v>17884951008.480343</v>
      </c>
    </row>
    <row r="338" spans="1:13" customFormat="1">
      <c r="A338">
        <v>2023</v>
      </c>
      <c r="B338" t="s">
        <v>13</v>
      </c>
      <c r="C338" t="s">
        <v>14</v>
      </c>
      <c r="D338" t="s">
        <v>15</v>
      </c>
      <c r="E338">
        <v>137500</v>
      </c>
      <c r="F338" t="s">
        <v>16</v>
      </c>
      <c r="G338">
        <v>137500</v>
      </c>
      <c r="H338" t="s">
        <v>17</v>
      </c>
      <c r="I338">
        <v>0</v>
      </c>
      <c r="J338" t="s">
        <v>17</v>
      </c>
      <c r="K338" t="s">
        <v>18</v>
      </c>
      <c r="L338" s="3">
        <f t="shared" si="10"/>
        <v>30734.629055007055</v>
      </c>
      <c r="M338" s="3">
        <f t="shared" si="11"/>
        <v>944617423.14888382</v>
      </c>
    </row>
    <row r="339" spans="1:13" customFormat="1">
      <c r="A339">
        <v>2022</v>
      </c>
      <c r="B339" t="s">
        <v>28</v>
      </c>
      <c r="C339" t="s">
        <v>56</v>
      </c>
      <c r="D339" t="s">
        <v>15</v>
      </c>
      <c r="E339">
        <v>24000</v>
      </c>
      <c r="F339" t="s">
        <v>49</v>
      </c>
      <c r="G339">
        <v>25216</v>
      </c>
      <c r="H339" t="s">
        <v>50</v>
      </c>
      <c r="I339">
        <v>100</v>
      </c>
      <c r="J339" t="s">
        <v>17</v>
      </c>
      <c r="K339" t="s">
        <v>31</v>
      </c>
      <c r="L339" s="3">
        <f t="shared" si="10"/>
        <v>-81549.370944992945</v>
      </c>
      <c r="M339" s="3">
        <f t="shared" si="11"/>
        <v>6650299901.5240593</v>
      </c>
    </row>
    <row r="340" spans="1:13" customFormat="1">
      <c r="A340">
        <v>2023</v>
      </c>
      <c r="B340" t="s">
        <v>13</v>
      </c>
      <c r="C340" t="s">
        <v>14</v>
      </c>
      <c r="D340" t="s">
        <v>15</v>
      </c>
      <c r="E340">
        <v>125000</v>
      </c>
      <c r="F340" t="s">
        <v>16</v>
      </c>
      <c r="G340">
        <v>125000</v>
      </c>
      <c r="H340" t="s">
        <v>17</v>
      </c>
      <c r="I340">
        <v>0</v>
      </c>
      <c r="J340" t="s">
        <v>17</v>
      </c>
      <c r="K340" t="s">
        <v>18</v>
      </c>
      <c r="L340" s="3">
        <f t="shared" si="10"/>
        <v>18234.629055007055</v>
      </c>
      <c r="M340" s="3">
        <f t="shared" si="11"/>
        <v>332501696.77370751</v>
      </c>
    </row>
    <row r="341" spans="1:13" customFormat="1">
      <c r="A341">
        <v>2023</v>
      </c>
      <c r="B341" t="s">
        <v>13</v>
      </c>
      <c r="C341" t="s">
        <v>14</v>
      </c>
      <c r="D341" t="s">
        <v>15</v>
      </c>
      <c r="E341">
        <v>85000</v>
      </c>
      <c r="F341" t="s">
        <v>16</v>
      </c>
      <c r="G341">
        <v>85000</v>
      </c>
      <c r="H341" t="s">
        <v>17</v>
      </c>
      <c r="I341">
        <v>0</v>
      </c>
      <c r="J341" t="s">
        <v>17</v>
      </c>
      <c r="K341" t="s">
        <v>18</v>
      </c>
      <c r="L341" s="3">
        <f t="shared" si="10"/>
        <v>-21765.370944992945</v>
      </c>
      <c r="M341" s="3">
        <f t="shared" si="11"/>
        <v>473731372.37314308</v>
      </c>
    </row>
    <row r="342" spans="1:13" customFormat="1">
      <c r="A342">
        <v>2023</v>
      </c>
      <c r="B342" t="s">
        <v>13</v>
      </c>
      <c r="C342" t="s">
        <v>14</v>
      </c>
      <c r="D342" t="s">
        <v>15</v>
      </c>
      <c r="E342">
        <v>130000</v>
      </c>
      <c r="F342" t="s">
        <v>16</v>
      </c>
      <c r="G342">
        <v>130000</v>
      </c>
      <c r="H342" t="s">
        <v>17</v>
      </c>
      <c r="I342">
        <v>100</v>
      </c>
      <c r="J342" t="s">
        <v>17</v>
      </c>
      <c r="K342" t="s">
        <v>18</v>
      </c>
      <c r="L342" s="3">
        <f t="shared" si="10"/>
        <v>23234.629055007055</v>
      </c>
      <c r="M342" s="3">
        <f t="shared" si="11"/>
        <v>539847987.32377803</v>
      </c>
    </row>
    <row r="343" spans="1:13" customFormat="1">
      <c r="A343">
        <v>2023</v>
      </c>
      <c r="B343" t="s">
        <v>13</v>
      </c>
      <c r="C343" t="s">
        <v>14</v>
      </c>
      <c r="D343" t="s">
        <v>15</v>
      </c>
      <c r="E343">
        <v>80000</v>
      </c>
      <c r="F343" t="s">
        <v>16</v>
      </c>
      <c r="G343">
        <v>80000</v>
      </c>
      <c r="H343" t="s">
        <v>17</v>
      </c>
      <c r="I343">
        <v>100</v>
      </c>
      <c r="J343" t="s">
        <v>17</v>
      </c>
      <c r="K343" t="s">
        <v>18</v>
      </c>
      <c r="L343" s="3">
        <f t="shared" si="10"/>
        <v>-26765.370944992945</v>
      </c>
      <c r="M343" s="3">
        <f t="shared" si="11"/>
        <v>716385081.82307255</v>
      </c>
    </row>
    <row r="344" spans="1:13" customFormat="1">
      <c r="A344">
        <v>2022</v>
      </c>
      <c r="B344" t="s">
        <v>19</v>
      </c>
      <c r="C344" t="s">
        <v>14</v>
      </c>
      <c r="D344" t="s">
        <v>40</v>
      </c>
      <c r="E344">
        <v>1440000</v>
      </c>
      <c r="F344" t="s">
        <v>52</v>
      </c>
      <c r="G344">
        <v>18314</v>
      </c>
      <c r="H344" t="s">
        <v>53</v>
      </c>
      <c r="I344">
        <v>50</v>
      </c>
      <c r="J344" t="s">
        <v>53</v>
      </c>
      <c r="K344" t="s">
        <v>31</v>
      </c>
      <c r="L344" s="3">
        <f t="shared" si="10"/>
        <v>-88451.370944992945</v>
      </c>
      <c r="M344" s="3">
        <f t="shared" si="11"/>
        <v>7823645022.0487423</v>
      </c>
    </row>
    <row r="345" spans="1:13" customFormat="1">
      <c r="A345">
        <v>2022</v>
      </c>
      <c r="B345" t="s">
        <v>13</v>
      </c>
      <c r="C345" t="s">
        <v>14</v>
      </c>
      <c r="D345" t="s">
        <v>36</v>
      </c>
      <c r="E345">
        <v>133000</v>
      </c>
      <c r="F345" t="s">
        <v>16</v>
      </c>
      <c r="G345">
        <v>133000</v>
      </c>
      <c r="H345" t="s">
        <v>72</v>
      </c>
      <c r="I345">
        <v>0</v>
      </c>
      <c r="J345" t="s">
        <v>72</v>
      </c>
      <c r="K345" t="s">
        <v>31</v>
      </c>
      <c r="L345" s="3">
        <f t="shared" si="10"/>
        <v>26234.629055007055</v>
      </c>
      <c r="M345" s="3">
        <f t="shared" si="11"/>
        <v>688255761.6538204</v>
      </c>
    </row>
    <row r="346" spans="1:13" customFormat="1">
      <c r="A346">
        <v>2023</v>
      </c>
      <c r="B346" t="s">
        <v>13</v>
      </c>
      <c r="C346" t="s">
        <v>14</v>
      </c>
      <c r="D346" t="s">
        <v>15</v>
      </c>
      <c r="E346">
        <v>155000</v>
      </c>
      <c r="F346" t="s">
        <v>16</v>
      </c>
      <c r="G346">
        <v>155000</v>
      </c>
      <c r="H346" t="s">
        <v>17</v>
      </c>
      <c r="I346">
        <v>100</v>
      </c>
      <c r="J346" t="s">
        <v>17</v>
      </c>
      <c r="K346" t="s">
        <v>18</v>
      </c>
      <c r="L346" s="3">
        <f t="shared" si="10"/>
        <v>48234.629055007055</v>
      </c>
      <c r="M346" s="3">
        <f t="shared" si="11"/>
        <v>2326579440.074131</v>
      </c>
    </row>
    <row r="347" spans="1:13" customFormat="1">
      <c r="A347">
        <v>2023</v>
      </c>
      <c r="B347" t="s">
        <v>13</v>
      </c>
      <c r="C347" t="s">
        <v>14</v>
      </c>
      <c r="D347" t="s">
        <v>15</v>
      </c>
      <c r="E347">
        <v>64000</v>
      </c>
      <c r="F347" t="s">
        <v>16</v>
      </c>
      <c r="G347">
        <v>64000</v>
      </c>
      <c r="H347" t="s">
        <v>17</v>
      </c>
      <c r="I347">
        <v>100</v>
      </c>
      <c r="J347" t="s">
        <v>17</v>
      </c>
      <c r="K347" t="s">
        <v>18</v>
      </c>
      <c r="L347" s="3">
        <f t="shared" si="10"/>
        <v>-42765.370944992945</v>
      </c>
      <c r="M347" s="3">
        <f t="shared" si="11"/>
        <v>1828876952.0628467</v>
      </c>
    </row>
    <row r="348" spans="1:13" customFormat="1">
      <c r="A348">
        <v>2022</v>
      </c>
      <c r="B348" t="s">
        <v>19</v>
      </c>
      <c r="C348" t="s">
        <v>14</v>
      </c>
      <c r="D348" t="s">
        <v>15</v>
      </c>
      <c r="E348">
        <v>1125000</v>
      </c>
      <c r="F348" t="s">
        <v>52</v>
      </c>
      <c r="G348">
        <v>14307</v>
      </c>
      <c r="H348" t="s">
        <v>53</v>
      </c>
      <c r="I348">
        <v>100</v>
      </c>
      <c r="J348" t="s">
        <v>53</v>
      </c>
      <c r="K348" t="s">
        <v>31</v>
      </c>
      <c r="L348" s="3">
        <f t="shared" si="10"/>
        <v>-92458.370944992945</v>
      </c>
      <c r="M348" s="3">
        <f t="shared" si="11"/>
        <v>8548550357.8019152</v>
      </c>
    </row>
    <row r="349" spans="1:13" customFormat="1">
      <c r="A349">
        <v>2023</v>
      </c>
      <c r="B349" t="s">
        <v>19</v>
      </c>
      <c r="C349" t="s">
        <v>14</v>
      </c>
      <c r="D349" t="s">
        <v>15</v>
      </c>
      <c r="E349">
        <v>150000</v>
      </c>
      <c r="F349" t="s">
        <v>16</v>
      </c>
      <c r="G349">
        <v>150000</v>
      </c>
      <c r="H349" t="s">
        <v>17</v>
      </c>
      <c r="I349">
        <v>0</v>
      </c>
      <c r="J349" t="s">
        <v>17</v>
      </c>
      <c r="K349" t="s">
        <v>18</v>
      </c>
      <c r="L349" s="3">
        <f t="shared" si="10"/>
        <v>43234.629055007055</v>
      </c>
      <c r="M349" s="3">
        <f t="shared" si="11"/>
        <v>1869233149.5240602</v>
      </c>
    </row>
    <row r="350" spans="1:13" customFormat="1">
      <c r="A350">
        <v>2023</v>
      </c>
      <c r="B350" t="s">
        <v>19</v>
      </c>
      <c r="C350" t="s">
        <v>14</v>
      </c>
      <c r="D350" t="s">
        <v>15</v>
      </c>
      <c r="E350">
        <v>100000</v>
      </c>
      <c r="F350" t="s">
        <v>16</v>
      </c>
      <c r="G350">
        <v>100000</v>
      </c>
      <c r="H350" t="s">
        <v>17</v>
      </c>
      <c r="I350">
        <v>0</v>
      </c>
      <c r="J350" t="s">
        <v>17</v>
      </c>
      <c r="K350" t="s">
        <v>18</v>
      </c>
      <c r="L350" s="3">
        <f t="shared" si="10"/>
        <v>-6765.3709449929447</v>
      </c>
      <c r="M350" s="3">
        <f t="shared" si="11"/>
        <v>45770244.023354732</v>
      </c>
    </row>
    <row r="351" spans="1:13" customFormat="1">
      <c r="A351">
        <v>2022</v>
      </c>
      <c r="B351" t="s">
        <v>19</v>
      </c>
      <c r="C351" t="s">
        <v>14</v>
      </c>
      <c r="D351" t="s">
        <v>15</v>
      </c>
      <c r="E351">
        <v>150000</v>
      </c>
      <c r="F351" t="s">
        <v>16</v>
      </c>
      <c r="G351">
        <v>150000</v>
      </c>
      <c r="H351" t="s">
        <v>17</v>
      </c>
      <c r="I351">
        <v>0</v>
      </c>
      <c r="J351" t="s">
        <v>17</v>
      </c>
      <c r="K351" t="s">
        <v>18</v>
      </c>
      <c r="L351" s="3">
        <f t="shared" si="10"/>
        <v>43234.629055007055</v>
      </c>
      <c r="M351" s="3">
        <f t="shared" si="11"/>
        <v>1869233149.5240602</v>
      </c>
    </row>
    <row r="352" spans="1:13" customFormat="1">
      <c r="A352">
        <v>2022</v>
      </c>
      <c r="B352" t="s">
        <v>19</v>
      </c>
      <c r="C352" t="s">
        <v>14</v>
      </c>
      <c r="D352" t="s">
        <v>15</v>
      </c>
      <c r="E352">
        <v>100000</v>
      </c>
      <c r="F352" t="s">
        <v>16</v>
      </c>
      <c r="G352">
        <v>100000</v>
      </c>
      <c r="H352" t="s">
        <v>17</v>
      </c>
      <c r="I352">
        <v>0</v>
      </c>
      <c r="J352" t="s">
        <v>17</v>
      </c>
      <c r="K352" t="s">
        <v>18</v>
      </c>
      <c r="L352" s="3">
        <f t="shared" si="10"/>
        <v>-6765.3709449929447</v>
      </c>
      <c r="M352" s="3">
        <f t="shared" si="11"/>
        <v>45770244.023354732</v>
      </c>
    </row>
    <row r="353" spans="1:13" customFormat="1">
      <c r="A353">
        <v>2022</v>
      </c>
      <c r="B353" t="s">
        <v>19</v>
      </c>
      <c r="C353" t="s">
        <v>14</v>
      </c>
      <c r="D353" t="s">
        <v>15</v>
      </c>
      <c r="E353">
        <v>150000</v>
      </c>
      <c r="F353" t="s">
        <v>16</v>
      </c>
      <c r="G353">
        <v>150000</v>
      </c>
      <c r="H353" t="s">
        <v>17</v>
      </c>
      <c r="I353">
        <v>0</v>
      </c>
      <c r="J353" t="s">
        <v>17</v>
      </c>
      <c r="K353" t="s">
        <v>18</v>
      </c>
      <c r="L353" s="3">
        <f t="shared" si="10"/>
        <v>43234.629055007055</v>
      </c>
      <c r="M353" s="3">
        <f t="shared" si="11"/>
        <v>1869233149.5240602</v>
      </c>
    </row>
    <row r="354" spans="1:13" customFormat="1">
      <c r="A354">
        <v>2022</v>
      </c>
      <c r="B354" t="s">
        <v>19</v>
      </c>
      <c r="C354" t="s">
        <v>14</v>
      </c>
      <c r="D354" t="s">
        <v>15</v>
      </c>
      <c r="E354">
        <v>100000</v>
      </c>
      <c r="F354" t="s">
        <v>16</v>
      </c>
      <c r="G354">
        <v>100000</v>
      </c>
      <c r="H354" t="s">
        <v>17</v>
      </c>
      <c r="I354">
        <v>0</v>
      </c>
      <c r="J354" t="s">
        <v>17</v>
      </c>
      <c r="K354" t="s">
        <v>18</v>
      </c>
      <c r="L354" s="3">
        <f t="shared" si="10"/>
        <v>-6765.3709449929447</v>
      </c>
      <c r="M354" s="3">
        <f t="shared" si="11"/>
        <v>45770244.023354732</v>
      </c>
    </row>
    <row r="355" spans="1:13" customFormat="1">
      <c r="A355">
        <v>2022</v>
      </c>
      <c r="B355" t="s">
        <v>13</v>
      </c>
      <c r="C355" t="s">
        <v>14</v>
      </c>
      <c r="D355" t="s">
        <v>15</v>
      </c>
      <c r="E355">
        <v>149000</v>
      </c>
      <c r="F355" t="s">
        <v>16</v>
      </c>
      <c r="G355">
        <v>149000</v>
      </c>
      <c r="H355" t="s">
        <v>17</v>
      </c>
      <c r="I355">
        <v>100</v>
      </c>
      <c r="J355" t="s">
        <v>17</v>
      </c>
      <c r="K355" t="s">
        <v>18</v>
      </c>
      <c r="L355" s="3">
        <f t="shared" si="10"/>
        <v>42234.629055007055</v>
      </c>
      <c r="M355" s="3">
        <f t="shared" si="11"/>
        <v>1783763891.414046</v>
      </c>
    </row>
    <row r="356" spans="1:13" customFormat="1">
      <c r="A356">
        <v>2022</v>
      </c>
      <c r="B356" t="s">
        <v>13</v>
      </c>
      <c r="C356" t="s">
        <v>14</v>
      </c>
      <c r="D356" t="s">
        <v>15</v>
      </c>
      <c r="E356">
        <v>119000</v>
      </c>
      <c r="F356" t="s">
        <v>16</v>
      </c>
      <c r="G356">
        <v>119000</v>
      </c>
      <c r="H356" t="s">
        <v>17</v>
      </c>
      <c r="I356">
        <v>100</v>
      </c>
      <c r="J356" t="s">
        <v>17</v>
      </c>
      <c r="K356" t="s">
        <v>18</v>
      </c>
      <c r="L356" s="3">
        <f t="shared" si="10"/>
        <v>12234.629055007055</v>
      </c>
      <c r="M356" s="3">
        <f t="shared" si="11"/>
        <v>149686148.11362284</v>
      </c>
    </row>
    <row r="357" spans="1:13" customFormat="1">
      <c r="A357">
        <v>2022</v>
      </c>
      <c r="B357" t="s">
        <v>28</v>
      </c>
      <c r="C357" t="s">
        <v>14</v>
      </c>
      <c r="D357" t="s">
        <v>67</v>
      </c>
      <c r="E357">
        <v>100000</v>
      </c>
      <c r="F357" t="s">
        <v>16</v>
      </c>
      <c r="G357">
        <v>100000</v>
      </c>
      <c r="H357" t="s">
        <v>17</v>
      </c>
      <c r="I357">
        <v>100</v>
      </c>
      <c r="J357" t="s">
        <v>17</v>
      </c>
      <c r="K357" t="s">
        <v>18</v>
      </c>
      <c r="L357" s="3">
        <f t="shared" si="10"/>
        <v>-6765.3709449929447</v>
      </c>
      <c r="M357" s="3">
        <f t="shared" si="11"/>
        <v>45770244.023354732</v>
      </c>
    </row>
    <row r="358" spans="1:13" customFormat="1">
      <c r="A358">
        <v>2022</v>
      </c>
      <c r="B358" t="s">
        <v>19</v>
      </c>
      <c r="C358" t="s">
        <v>14</v>
      </c>
      <c r="D358" t="s">
        <v>15</v>
      </c>
      <c r="E358">
        <v>75000</v>
      </c>
      <c r="F358" t="s">
        <v>16</v>
      </c>
      <c r="G358">
        <v>75000</v>
      </c>
      <c r="H358" t="s">
        <v>17</v>
      </c>
      <c r="I358">
        <v>100</v>
      </c>
      <c r="J358" t="s">
        <v>17</v>
      </c>
      <c r="K358" t="s">
        <v>18</v>
      </c>
      <c r="L358" s="3">
        <f t="shared" si="10"/>
        <v>-31765.370944992945</v>
      </c>
      <c r="M358" s="3">
        <f t="shared" si="11"/>
        <v>1009038791.2730019</v>
      </c>
    </row>
    <row r="359" spans="1:13" customFormat="1">
      <c r="A359">
        <v>2022</v>
      </c>
      <c r="B359" t="s">
        <v>19</v>
      </c>
      <c r="C359" t="s">
        <v>14</v>
      </c>
      <c r="D359" t="s">
        <v>15</v>
      </c>
      <c r="E359">
        <v>60000</v>
      </c>
      <c r="F359" t="s">
        <v>16</v>
      </c>
      <c r="G359">
        <v>60000</v>
      </c>
      <c r="H359" t="s">
        <v>17</v>
      </c>
      <c r="I359">
        <v>100</v>
      </c>
      <c r="J359" t="s">
        <v>17</v>
      </c>
      <c r="K359" t="s">
        <v>18</v>
      </c>
      <c r="L359" s="3">
        <f t="shared" si="10"/>
        <v>-46765.370944992945</v>
      </c>
      <c r="M359" s="3">
        <f t="shared" si="11"/>
        <v>2186999919.6227903</v>
      </c>
    </row>
    <row r="360" spans="1:13" customFormat="1">
      <c r="A360">
        <v>2022</v>
      </c>
      <c r="B360" t="s">
        <v>13</v>
      </c>
      <c r="C360" t="s">
        <v>14</v>
      </c>
      <c r="D360" t="s">
        <v>15</v>
      </c>
      <c r="E360">
        <v>120000</v>
      </c>
      <c r="F360" t="s">
        <v>16</v>
      </c>
      <c r="G360">
        <v>120000</v>
      </c>
      <c r="H360" t="s">
        <v>17</v>
      </c>
      <c r="I360">
        <v>0</v>
      </c>
      <c r="J360" t="s">
        <v>17</v>
      </c>
      <c r="K360" t="s">
        <v>18</v>
      </c>
      <c r="L360" s="3">
        <f t="shared" si="10"/>
        <v>13234.629055007055</v>
      </c>
      <c r="M360" s="3">
        <f t="shared" si="11"/>
        <v>175155406.22363696</v>
      </c>
    </row>
    <row r="361" spans="1:13" customFormat="1">
      <c r="A361">
        <v>2022</v>
      </c>
      <c r="B361" t="s">
        <v>13</v>
      </c>
      <c r="C361" t="s">
        <v>14</v>
      </c>
      <c r="D361" t="s">
        <v>15</v>
      </c>
      <c r="E361">
        <v>95000</v>
      </c>
      <c r="F361" t="s">
        <v>16</v>
      </c>
      <c r="G361">
        <v>95000</v>
      </c>
      <c r="H361" t="s">
        <v>17</v>
      </c>
      <c r="I361">
        <v>0</v>
      </c>
      <c r="J361" t="s">
        <v>17</v>
      </c>
      <c r="K361" t="s">
        <v>18</v>
      </c>
      <c r="L361" s="3">
        <f t="shared" si="10"/>
        <v>-11765.370944992945</v>
      </c>
      <c r="M361" s="3">
        <f t="shared" si="11"/>
        <v>138423953.47328418</v>
      </c>
    </row>
    <row r="362" spans="1:13" customFormat="1">
      <c r="A362">
        <v>2022</v>
      </c>
      <c r="B362" t="s">
        <v>19</v>
      </c>
      <c r="C362" t="s">
        <v>14</v>
      </c>
      <c r="D362" t="s">
        <v>15</v>
      </c>
      <c r="E362">
        <v>150000</v>
      </c>
      <c r="F362" t="s">
        <v>16</v>
      </c>
      <c r="G362">
        <v>150000</v>
      </c>
      <c r="H362" t="s">
        <v>17</v>
      </c>
      <c r="I362">
        <v>0</v>
      </c>
      <c r="J362" t="s">
        <v>17</v>
      </c>
      <c r="K362" t="s">
        <v>18</v>
      </c>
      <c r="L362" s="3">
        <f t="shared" si="10"/>
        <v>43234.629055007055</v>
      </c>
      <c r="M362" s="3">
        <f t="shared" si="11"/>
        <v>1869233149.5240602</v>
      </c>
    </row>
    <row r="363" spans="1:13" customFormat="1">
      <c r="A363">
        <v>2022</v>
      </c>
      <c r="B363" t="s">
        <v>19</v>
      </c>
      <c r="C363" t="s">
        <v>14</v>
      </c>
      <c r="D363" t="s">
        <v>15</v>
      </c>
      <c r="E363">
        <v>100000</v>
      </c>
      <c r="F363" t="s">
        <v>16</v>
      </c>
      <c r="G363">
        <v>100000</v>
      </c>
      <c r="H363" t="s">
        <v>17</v>
      </c>
      <c r="I363">
        <v>0</v>
      </c>
      <c r="J363" t="s">
        <v>17</v>
      </c>
      <c r="K363" t="s">
        <v>18</v>
      </c>
      <c r="L363" s="3">
        <f t="shared" si="10"/>
        <v>-6765.3709449929447</v>
      </c>
      <c r="M363" s="3">
        <f t="shared" si="11"/>
        <v>45770244.023354732</v>
      </c>
    </row>
    <row r="364" spans="1:13" customFormat="1">
      <c r="A364">
        <v>2022</v>
      </c>
      <c r="B364" t="s">
        <v>13</v>
      </c>
      <c r="C364" t="s">
        <v>14</v>
      </c>
      <c r="D364" t="s">
        <v>15</v>
      </c>
      <c r="E364">
        <v>115934</v>
      </c>
      <c r="F364" t="s">
        <v>16</v>
      </c>
      <c r="G364">
        <v>115934</v>
      </c>
      <c r="H364" t="s">
        <v>17</v>
      </c>
      <c r="I364">
        <v>100</v>
      </c>
      <c r="J364" t="s">
        <v>17</v>
      </c>
      <c r="K364" t="s">
        <v>18</v>
      </c>
      <c r="L364" s="3">
        <f t="shared" si="10"/>
        <v>9168.6290550070553</v>
      </c>
      <c r="M364" s="3">
        <f t="shared" si="11"/>
        <v>84063758.748319566</v>
      </c>
    </row>
    <row r="365" spans="1:13" customFormat="1">
      <c r="A365">
        <v>2022</v>
      </c>
      <c r="B365" t="s">
        <v>13</v>
      </c>
      <c r="C365" t="s">
        <v>14</v>
      </c>
      <c r="D365" t="s">
        <v>15</v>
      </c>
      <c r="E365">
        <v>81666</v>
      </c>
      <c r="F365" t="s">
        <v>16</v>
      </c>
      <c r="G365">
        <v>81666</v>
      </c>
      <c r="H365" t="s">
        <v>17</v>
      </c>
      <c r="I365">
        <v>100</v>
      </c>
      <c r="J365" t="s">
        <v>17</v>
      </c>
      <c r="K365" t="s">
        <v>18</v>
      </c>
      <c r="L365" s="3">
        <f t="shared" si="10"/>
        <v>-25099.370944992945</v>
      </c>
      <c r="M365" s="3">
        <f t="shared" si="11"/>
        <v>629978421.83435607</v>
      </c>
    </row>
    <row r="366" spans="1:13" customFormat="1">
      <c r="A366">
        <v>2022</v>
      </c>
      <c r="B366" t="s">
        <v>28</v>
      </c>
      <c r="C366" t="s">
        <v>14</v>
      </c>
      <c r="D366" t="s">
        <v>15</v>
      </c>
      <c r="E366">
        <v>55000</v>
      </c>
      <c r="F366" t="s">
        <v>16</v>
      </c>
      <c r="G366">
        <v>55000</v>
      </c>
      <c r="H366" t="s">
        <v>17</v>
      </c>
      <c r="I366">
        <v>0</v>
      </c>
      <c r="J366" t="s">
        <v>17</v>
      </c>
      <c r="K366" t="s">
        <v>18</v>
      </c>
      <c r="L366" s="3">
        <f t="shared" si="10"/>
        <v>-51765.370944992945</v>
      </c>
      <c r="M366" s="3">
        <f t="shared" si="11"/>
        <v>2679653629.0727196</v>
      </c>
    </row>
    <row r="367" spans="1:13" customFormat="1">
      <c r="A367">
        <v>2022</v>
      </c>
      <c r="B367" t="s">
        <v>28</v>
      </c>
      <c r="C367" t="s">
        <v>14</v>
      </c>
      <c r="D367" t="s">
        <v>15</v>
      </c>
      <c r="E367">
        <v>48000</v>
      </c>
      <c r="F367" t="s">
        <v>16</v>
      </c>
      <c r="G367">
        <v>48000</v>
      </c>
      <c r="H367" t="s">
        <v>17</v>
      </c>
      <c r="I367">
        <v>0</v>
      </c>
      <c r="J367" t="s">
        <v>17</v>
      </c>
      <c r="K367" t="s">
        <v>18</v>
      </c>
      <c r="L367" s="3">
        <f t="shared" si="10"/>
        <v>-58765.370944992945</v>
      </c>
      <c r="M367" s="3">
        <f t="shared" si="11"/>
        <v>3453368822.3026209</v>
      </c>
    </row>
    <row r="368" spans="1:13" customFormat="1">
      <c r="A368">
        <v>2022</v>
      </c>
      <c r="B368" t="s">
        <v>13</v>
      </c>
      <c r="C368" t="s">
        <v>14</v>
      </c>
      <c r="D368" t="s">
        <v>15</v>
      </c>
      <c r="E368">
        <v>127000</v>
      </c>
      <c r="F368" t="s">
        <v>16</v>
      </c>
      <c r="G368">
        <v>127000</v>
      </c>
      <c r="H368" t="s">
        <v>17</v>
      </c>
      <c r="I368">
        <v>100</v>
      </c>
      <c r="J368" t="s">
        <v>17</v>
      </c>
      <c r="K368" t="s">
        <v>18</v>
      </c>
      <c r="L368" s="3">
        <f t="shared" si="10"/>
        <v>20234.629055007055</v>
      </c>
      <c r="M368" s="3">
        <f t="shared" si="11"/>
        <v>409440212.99373573</v>
      </c>
    </row>
    <row r="369" spans="1:13" customFormat="1">
      <c r="A369">
        <v>2022</v>
      </c>
      <c r="B369" t="s">
        <v>13</v>
      </c>
      <c r="C369" t="s">
        <v>14</v>
      </c>
      <c r="D369" t="s">
        <v>15</v>
      </c>
      <c r="E369">
        <v>104000</v>
      </c>
      <c r="F369" t="s">
        <v>16</v>
      </c>
      <c r="G369">
        <v>104000</v>
      </c>
      <c r="H369" t="s">
        <v>17</v>
      </c>
      <c r="I369">
        <v>100</v>
      </c>
      <c r="J369" t="s">
        <v>17</v>
      </c>
      <c r="K369" t="s">
        <v>18</v>
      </c>
      <c r="L369" s="3">
        <f t="shared" si="10"/>
        <v>-2765.3709449929447</v>
      </c>
      <c r="M369" s="3">
        <f t="shared" si="11"/>
        <v>7647276.4634111719</v>
      </c>
    </row>
    <row r="370" spans="1:13" customFormat="1">
      <c r="A370">
        <v>2022</v>
      </c>
      <c r="B370" t="s">
        <v>19</v>
      </c>
      <c r="C370" t="s">
        <v>14</v>
      </c>
      <c r="D370" t="s">
        <v>15</v>
      </c>
      <c r="E370">
        <v>102640</v>
      </c>
      <c r="F370" t="s">
        <v>16</v>
      </c>
      <c r="G370">
        <v>102640</v>
      </c>
      <c r="H370" t="s">
        <v>17</v>
      </c>
      <c r="I370">
        <v>100</v>
      </c>
      <c r="J370" t="s">
        <v>17</v>
      </c>
      <c r="K370" t="s">
        <v>18</v>
      </c>
      <c r="L370" s="3">
        <f t="shared" si="10"/>
        <v>-4125.3709449929447</v>
      </c>
      <c r="M370" s="3">
        <f t="shared" si="11"/>
        <v>17018685.43379198</v>
      </c>
    </row>
    <row r="371" spans="1:13" customFormat="1">
      <c r="A371">
        <v>2022</v>
      </c>
      <c r="B371" t="s">
        <v>19</v>
      </c>
      <c r="C371" t="s">
        <v>14</v>
      </c>
      <c r="D371" t="s">
        <v>15</v>
      </c>
      <c r="E371">
        <v>66100</v>
      </c>
      <c r="F371" t="s">
        <v>16</v>
      </c>
      <c r="G371">
        <v>66100</v>
      </c>
      <c r="H371" t="s">
        <v>17</v>
      </c>
      <c r="I371">
        <v>100</v>
      </c>
      <c r="J371" t="s">
        <v>17</v>
      </c>
      <c r="K371" t="s">
        <v>18</v>
      </c>
      <c r="L371" s="3">
        <f t="shared" si="10"/>
        <v>-40665.370944992945</v>
      </c>
      <c r="M371" s="3">
        <f t="shared" si="11"/>
        <v>1653672394.0938764</v>
      </c>
    </row>
    <row r="372" spans="1:13" customFormat="1">
      <c r="A372">
        <v>2022</v>
      </c>
      <c r="B372" t="s">
        <v>13</v>
      </c>
      <c r="C372" t="s">
        <v>14</v>
      </c>
      <c r="D372" t="s">
        <v>15</v>
      </c>
      <c r="E372">
        <v>150000</v>
      </c>
      <c r="F372" t="s">
        <v>16</v>
      </c>
      <c r="G372">
        <v>150000</v>
      </c>
      <c r="H372" t="s">
        <v>17</v>
      </c>
      <c r="I372">
        <v>100</v>
      </c>
      <c r="J372" t="s">
        <v>17</v>
      </c>
      <c r="K372" t="s">
        <v>18</v>
      </c>
      <c r="L372" s="3">
        <f t="shared" si="10"/>
        <v>43234.629055007055</v>
      </c>
      <c r="M372" s="3">
        <f t="shared" si="11"/>
        <v>1869233149.5240602</v>
      </c>
    </row>
    <row r="373" spans="1:13" customFormat="1">
      <c r="A373">
        <v>2022</v>
      </c>
      <c r="B373" t="s">
        <v>13</v>
      </c>
      <c r="C373" t="s">
        <v>14</v>
      </c>
      <c r="D373" t="s">
        <v>15</v>
      </c>
      <c r="E373">
        <v>100000</v>
      </c>
      <c r="F373" t="s">
        <v>16</v>
      </c>
      <c r="G373">
        <v>100000</v>
      </c>
      <c r="H373" t="s">
        <v>17</v>
      </c>
      <c r="I373">
        <v>100</v>
      </c>
      <c r="J373" t="s">
        <v>17</v>
      </c>
      <c r="K373" t="s">
        <v>18</v>
      </c>
      <c r="L373" s="3">
        <f t="shared" si="10"/>
        <v>-6765.3709449929447</v>
      </c>
      <c r="M373" s="3">
        <f t="shared" si="11"/>
        <v>45770244.023354732</v>
      </c>
    </row>
    <row r="374" spans="1:13" customFormat="1">
      <c r="A374">
        <v>2022</v>
      </c>
      <c r="B374" t="s">
        <v>13</v>
      </c>
      <c r="C374" t="s">
        <v>14</v>
      </c>
      <c r="D374" t="s">
        <v>15</v>
      </c>
      <c r="E374">
        <v>115934</v>
      </c>
      <c r="F374" t="s">
        <v>16</v>
      </c>
      <c r="G374">
        <v>115934</v>
      </c>
      <c r="H374" t="s">
        <v>17</v>
      </c>
      <c r="I374">
        <v>100</v>
      </c>
      <c r="J374" t="s">
        <v>17</v>
      </c>
      <c r="K374" t="s">
        <v>18</v>
      </c>
      <c r="L374" s="3">
        <f t="shared" si="10"/>
        <v>9168.6290550070553</v>
      </c>
      <c r="M374" s="3">
        <f t="shared" si="11"/>
        <v>84063758.748319566</v>
      </c>
    </row>
    <row r="375" spans="1:13" customFormat="1">
      <c r="A375">
        <v>2022</v>
      </c>
      <c r="B375" t="s">
        <v>13</v>
      </c>
      <c r="C375" t="s">
        <v>14</v>
      </c>
      <c r="D375" t="s">
        <v>15</v>
      </c>
      <c r="E375">
        <v>81666</v>
      </c>
      <c r="F375" t="s">
        <v>16</v>
      </c>
      <c r="G375">
        <v>81666</v>
      </c>
      <c r="H375" t="s">
        <v>17</v>
      </c>
      <c r="I375">
        <v>100</v>
      </c>
      <c r="J375" t="s">
        <v>17</v>
      </c>
      <c r="K375" t="s">
        <v>18</v>
      </c>
      <c r="L375" s="3">
        <f t="shared" si="10"/>
        <v>-25099.370944992945</v>
      </c>
      <c r="M375" s="3">
        <f t="shared" si="11"/>
        <v>629978421.83435607</v>
      </c>
    </row>
    <row r="376" spans="1:13" customFormat="1">
      <c r="A376">
        <v>2022</v>
      </c>
      <c r="B376" t="s">
        <v>19</v>
      </c>
      <c r="C376" t="s">
        <v>14</v>
      </c>
      <c r="D376" t="s">
        <v>15</v>
      </c>
      <c r="E376">
        <v>350000</v>
      </c>
      <c r="F376" t="s">
        <v>41</v>
      </c>
      <c r="G376">
        <v>430967</v>
      </c>
      <c r="H376" t="s">
        <v>42</v>
      </c>
      <c r="I376">
        <v>0</v>
      </c>
      <c r="J376" t="s">
        <v>42</v>
      </c>
      <c r="K376" t="s">
        <v>18</v>
      </c>
      <c r="L376" s="3">
        <f t="shared" si="10"/>
        <v>324201.62905500707</v>
      </c>
      <c r="M376" s="3">
        <f t="shared" si="11"/>
        <v>105106696281.92041</v>
      </c>
    </row>
    <row r="377" spans="1:13" customFormat="1">
      <c r="A377">
        <v>2022</v>
      </c>
      <c r="B377" t="s">
        <v>19</v>
      </c>
      <c r="C377" t="s">
        <v>14</v>
      </c>
      <c r="D377" t="s">
        <v>15</v>
      </c>
      <c r="E377">
        <v>45000</v>
      </c>
      <c r="F377" t="s">
        <v>41</v>
      </c>
      <c r="G377">
        <v>55410</v>
      </c>
      <c r="H377" t="s">
        <v>42</v>
      </c>
      <c r="I377">
        <v>0</v>
      </c>
      <c r="J377" t="s">
        <v>42</v>
      </c>
      <c r="K377" t="s">
        <v>18</v>
      </c>
      <c r="L377" s="3">
        <f t="shared" si="10"/>
        <v>-51355.370944992945</v>
      </c>
      <c r="M377" s="3">
        <f t="shared" si="11"/>
        <v>2637374124.8978257</v>
      </c>
    </row>
    <row r="378" spans="1:13" customFormat="1">
      <c r="A378">
        <v>2022</v>
      </c>
      <c r="B378" t="s">
        <v>13</v>
      </c>
      <c r="C378" t="s">
        <v>14</v>
      </c>
      <c r="D378" t="s">
        <v>15</v>
      </c>
      <c r="E378">
        <v>48000</v>
      </c>
      <c r="F378" t="s">
        <v>49</v>
      </c>
      <c r="G378">
        <v>50432</v>
      </c>
      <c r="H378" t="s">
        <v>50</v>
      </c>
      <c r="I378">
        <v>0</v>
      </c>
      <c r="J378" t="s">
        <v>50</v>
      </c>
      <c r="K378" t="s">
        <v>18</v>
      </c>
      <c r="L378" s="3">
        <f t="shared" si="10"/>
        <v>-56333.370944992945</v>
      </c>
      <c r="M378" s="3">
        <f t="shared" si="11"/>
        <v>3173448682.0261755</v>
      </c>
    </row>
    <row r="379" spans="1:13" customFormat="1">
      <c r="A379">
        <v>2022</v>
      </c>
      <c r="B379" t="s">
        <v>13</v>
      </c>
      <c r="C379" t="s">
        <v>14</v>
      </c>
      <c r="D379" t="s">
        <v>15</v>
      </c>
      <c r="E379">
        <v>38000</v>
      </c>
      <c r="F379" t="s">
        <v>49</v>
      </c>
      <c r="G379">
        <v>39925</v>
      </c>
      <c r="H379" t="s">
        <v>50</v>
      </c>
      <c r="I379">
        <v>0</v>
      </c>
      <c r="J379" t="s">
        <v>50</v>
      </c>
      <c r="K379" t="s">
        <v>18</v>
      </c>
      <c r="L379" s="3">
        <f t="shared" si="10"/>
        <v>-66840.370944992945</v>
      </c>
      <c r="M379" s="3">
        <f t="shared" si="11"/>
        <v>4467635188.0642567</v>
      </c>
    </row>
    <row r="380" spans="1:13" customFormat="1">
      <c r="A380">
        <v>2022</v>
      </c>
      <c r="B380" t="s">
        <v>13</v>
      </c>
      <c r="C380" t="s">
        <v>14</v>
      </c>
      <c r="D380" t="s">
        <v>15</v>
      </c>
      <c r="E380">
        <v>169000</v>
      </c>
      <c r="F380" t="s">
        <v>16</v>
      </c>
      <c r="G380">
        <v>169000</v>
      </c>
      <c r="H380" t="s">
        <v>17</v>
      </c>
      <c r="I380">
        <v>0</v>
      </c>
      <c r="J380" t="s">
        <v>17</v>
      </c>
      <c r="K380" t="s">
        <v>18</v>
      </c>
      <c r="L380" s="3">
        <f t="shared" si="10"/>
        <v>62234.629055007055</v>
      </c>
      <c r="M380" s="3">
        <f t="shared" si="11"/>
        <v>3873149053.6143284</v>
      </c>
    </row>
    <row r="381" spans="1:13" customFormat="1">
      <c r="A381">
        <v>2022</v>
      </c>
      <c r="B381" t="s">
        <v>13</v>
      </c>
      <c r="C381" t="s">
        <v>14</v>
      </c>
      <c r="D381" t="s">
        <v>15</v>
      </c>
      <c r="E381">
        <v>110600</v>
      </c>
      <c r="F381" t="s">
        <v>16</v>
      </c>
      <c r="G381">
        <v>110600</v>
      </c>
      <c r="H381" t="s">
        <v>17</v>
      </c>
      <c r="I381">
        <v>0</v>
      </c>
      <c r="J381" t="s">
        <v>17</v>
      </c>
      <c r="K381" t="s">
        <v>18</v>
      </c>
      <c r="L381" s="3">
        <f t="shared" si="10"/>
        <v>3834.6290550070553</v>
      </c>
      <c r="M381" s="3">
        <f t="shared" si="11"/>
        <v>14704379.989504302</v>
      </c>
    </row>
    <row r="382" spans="1:13" customFormat="1">
      <c r="A382">
        <v>2022</v>
      </c>
      <c r="B382" t="s">
        <v>28</v>
      </c>
      <c r="C382" t="s">
        <v>14</v>
      </c>
      <c r="D382" t="s">
        <v>60</v>
      </c>
      <c r="E382">
        <v>58000</v>
      </c>
      <c r="F382" t="s">
        <v>49</v>
      </c>
      <c r="G382">
        <v>60938</v>
      </c>
      <c r="H382" t="s">
        <v>61</v>
      </c>
      <c r="I382">
        <v>0</v>
      </c>
      <c r="J382" t="s">
        <v>61</v>
      </c>
      <c r="K382" t="s">
        <v>31</v>
      </c>
      <c r="L382" s="3">
        <f t="shared" si="10"/>
        <v>-45827.370944992945</v>
      </c>
      <c r="M382" s="3">
        <f t="shared" si="11"/>
        <v>2100147927.7299836</v>
      </c>
    </row>
    <row r="383" spans="1:13" customFormat="1">
      <c r="A383">
        <v>2022</v>
      </c>
      <c r="B383" t="s">
        <v>19</v>
      </c>
      <c r="C383" t="s">
        <v>14</v>
      </c>
      <c r="D383" t="s">
        <v>15</v>
      </c>
      <c r="E383">
        <v>75000</v>
      </c>
      <c r="F383" t="s">
        <v>16</v>
      </c>
      <c r="G383">
        <v>75000</v>
      </c>
      <c r="H383" t="s">
        <v>17</v>
      </c>
      <c r="I383">
        <v>100</v>
      </c>
      <c r="J383" t="s">
        <v>17</v>
      </c>
      <c r="K383" t="s">
        <v>18</v>
      </c>
      <c r="L383" s="3">
        <f t="shared" si="10"/>
        <v>-31765.370944992945</v>
      </c>
      <c r="M383" s="3">
        <f t="shared" si="11"/>
        <v>1009038791.2730019</v>
      </c>
    </row>
    <row r="384" spans="1:13" customFormat="1">
      <c r="A384">
        <v>2022</v>
      </c>
      <c r="B384" t="s">
        <v>19</v>
      </c>
      <c r="C384" t="s">
        <v>14</v>
      </c>
      <c r="D384" t="s">
        <v>15</v>
      </c>
      <c r="E384">
        <v>60000</v>
      </c>
      <c r="F384" t="s">
        <v>16</v>
      </c>
      <c r="G384">
        <v>60000</v>
      </c>
      <c r="H384" t="s">
        <v>17</v>
      </c>
      <c r="I384">
        <v>100</v>
      </c>
      <c r="J384" t="s">
        <v>17</v>
      </c>
      <c r="K384" t="s">
        <v>18</v>
      </c>
      <c r="L384" s="3">
        <f t="shared" si="10"/>
        <v>-46765.370944992945</v>
      </c>
      <c r="M384" s="3">
        <f t="shared" si="11"/>
        <v>2186999919.6227903</v>
      </c>
    </row>
    <row r="385" spans="1:13" customFormat="1">
      <c r="A385">
        <v>2022</v>
      </c>
      <c r="B385" t="s">
        <v>28</v>
      </c>
      <c r="C385" t="s">
        <v>14</v>
      </c>
      <c r="D385" t="s">
        <v>15</v>
      </c>
      <c r="E385">
        <v>50000</v>
      </c>
      <c r="F385" t="s">
        <v>16</v>
      </c>
      <c r="G385">
        <v>50000</v>
      </c>
      <c r="H385" t="s">
        <v>17</v>
      </c>
      <c r="I385">
        <v>50</v>
      </c>
      <c r="J385" t="s">
        <v>17</v>
      </c>
      <c r="K385" t="s">
        <v>31</v>
      </c>
      <c r="L385" s="3">
        <f t="shared" si="10"/>
        <v>-56765.370944992945</v>
      </c>
      <c r="M385" s="3">
        <f t="shared" si="11"/>
        <v>3222307338.5226493</v>
      </c>
    </row>
    <row r="386" spans="1:13" customFormat="1">
      <c r="A386">
        <v>2022</v>
      </c>
      <c r="B386" t="s">
        <v>13</v>
      </c>
      <c r="C386" t="s">
        <v>14</v>
      </c>
      <c r="D386" t="s">
        <v>15</v>
      </c>
      <c r="E386">
        <v>166700</v>
      </c>
      <c r="F386" t="s">
        <v>16</v>
      </c>
      <c r="G386">
        <v>166700</v>
      </c>
      <c r="H386" t="s">
        <v>17</v>
      </c>
      <c r="I386">
        <v>0</v>
      </c>
      <c r="J386" t="s">
        <v>17</v>
      </c>
      <c r="K386" t="s">
        <v>18</v>
      </c>
      <c r="L386" s="3">
        <f t="shared" si="10"/>
        <v>59934.629055007055</v>
      </c>
      <c r="M386" s="3">
        <f t="shared" si="11"/>
        <v>3592159759.9612961</v>
      </c>
    </row>
    <row r="387" spans="1:13" customFormat="1">
      <c r="A387">
        <v>2022</v>
      </c>
      <c r="B387" t="s">
        <v>13</v>
      </c>
      <c r="C387" t="s">
        <v>14</v>
      </c>
      <c r="D387" t="s">
        <v>15</v>
      </c>
      <c r="E387">
        <v>119000</v>
      </c>
      <c r="F387" t="s">
        <v>16</v>
      </c>
      <c r="G387">
        <v>119000</v>
      </c>
      <c r="H387" t="s">
        <v>17</v>
      </c>
      <c r="I387">
        <v>0</v>
      </c>
      <c r="J387" t="s">
        <v>17</v>
      </c>
      <c r="K387" t="s">
        <v>18</v>
      </c>
      <c r="L387" s="3">
        <f t="shared" ref="L387:L450" si="12">G387-$P$5</f>
        <v>12234.629055007055</v>
      </c>
      <c r="M387" s="3">
        <f t="shared" ref="M387:M450" si="13">L387^2</f>
        <v>149686148.11362284</v>
      </c>
    </row>
    <row r="388" spans="1:13" customFormat="1">
      <c r="A388">
        <v>2022</v>
      </c>
      <c r="B388" t="s">
        <v>19</v>
      </c>
      <c r="C388" t="s">
        <v>14</v>
      </c>
      <c r="D388" t="s">
        <v>15</v>
      </c>
      <c r="E388">
        <v>100000</v>
      </c>
      <c r="F388" t="s">
        <v>16</v>
      </c>
      <c r="G388">
        <v>100000</v>
      </c>
      <c r="H388" t="s">
        <v>17</v>
      </c>
      <c r="I388">
        <v>100</v>
      </c>
      <c r="J388" t="s">
        <v>17</v>
      </c>
      <c r="K388" t="s">
        <v>18</v>
      </c>
      <c r="L388" s="3">
        <f t="shared" si="12"/>
        <v>-6765.3709449929447</v>
      </c>
      <c r="M388" s="3">
        <f t="shared" si="13"/>
        <v>45770244.023354732</v>
      </c>
    </row>
    <row r="389" spans="1:13" customFormat="1">
      <c r="A389">
        <v>2022</v>
      </c>
      <c r="B389" t="s">
        <v>19</v>
      </c>
      <c r="C389" t="s">
        <v>14</v>
      </c>
      <c r="D389" t="s">
        <v>15</v>
      </c>
      <c r="E389">
        <v>65000</v>
      </c>
      <c r="F389" t="s">
        <v>16</v>
      </c>
      <c r="G389">
        <v>65000</v>
      </c>
      <c r="H389" t="s">
        <v>17</v>
      </c>
      <c r="I389">
        <v>100</v>
      </c>
      <c r="J389" t="s">
        <v>17</v>
      </c>
      <c r="K389" t="s">
        <v>18</v>
      </c>
      <c r="L389" s="3">
        <f t="shared" si="12"/>
        <v>-41765.370944992945</v>
      </c>
      <c r="M389" s="3">
        <f t="shared" si="13"/>
        <v>1744346210.1728609</v>
      </c>
    </row>
    <row r="390" spans="1:13" customFormat="1">
      <c r="A390">
        <v>2021</v>
      </c>
      <c r="B390" t="s">
        <v>19</v>
      </c>
      <c r="C390" t="s">
        <v>14</v>
      </c>
      <c r="D390" t="s">
        <v>15</v>
      </c>
      <c r="E390">
        <v>1250000</v>
      </c>
      <c r="F390" t="s">
        <v>52</v>
      </c>
      <c r="G390">
        <v>16904</v>
      </c>
      <c r="H390" t="s">
        <v>53</v>
      </c>
      <c r="I390">
        <v>50</v>
      </c>
      <c r="J390" t="s">
        <v>53</v>
      </c>
      <c r="K390" t="s">
        <v>31</v>
      </c>
      <c r="L390" s="3">
        <f t="shared" si="12"/>
        <v>-89861.370944992945</v>
      </c>
      <c r="M390" s="3">
        <f t="shared" si="13"/>
        <v>8075065988.1136227</v>
      </c>
    </row>
    <row r="391" spans="1:13" customFormat="1">
      <c r="A391">
        <v>2022</v>
      </c>
      <c r="B391" t="s">
        <v>28</v>
      </c>
      <c r="C391" t="s">
        <v>14</v>
      </c>
      <c r="D391" t="s">
        <v>15</v>
      </c>
      <c r="E391">
        <v>50000</v>
      </c>
      <c r="F391" t="s">
        <v>16</v>
      </c>
      <c r="G391">
        <v>50000</v>
      </c>
      <c r="H391" t="s">
        <v>17</v>
      </c>
      <c r="I391">
        <v>50</v>
      </c>
      <c r="J391" t="s">
        <v>17</v>
      </c>
      <c r="K391" t="s">
        <v>31</v>
      </c>
      <c r="L391" s="3">
        <f t="shared" si="12"/>
        <v>-56765.370944992945</v>
      </c>
      <c r="M391" s="3">
        <f t="shared" si="13"/>
        <v>3222307338.5226493</v>
      </c>
    </row>
    <row r="392" spans="1:13" customFormat="1">
      <c r="A392">
        <v>2022</v>
      </c>
      <c r="B392" t="s">
        <v>19</v>
      </c>
      <c r="C392" t="s">
        <v>14</v>
      </c>
      <c r="D392" t="s">
        <v>15</v>
      </c>
      <c r="E392">
        <v>150000</v>
      </c>
      <c r="F392" t="s">
        <v>16</v>
      </c>
      <c r="G392">
        <v>150000</v>
      </c>
      <c r="H392" t="s">
        <v>17</v>
      </c>
      <c r="I392">
        <v>0</v>
      </c>
      <c r="J392" t="s">
        <v>17</v>
      </c>
      <c r="K392" t="s">
        <v>18</v>
      </c>
      <c r="L392" s="3">
        <f t="shared" si="12"/>
        <v>43234.629055007055</v>
      </c>
      <c r="M392" s="3">
        <f t="shared" si="13"/>
        <v>1869233149.5240602</v>
      </c>
    </row>
    <row r="393" spans="1:13" customFormat="1">
      <c r="A393">
        <v>2022</v>
      </c>
      <c r="B393" t="s">
        <v>19</v>
      </c>
      <c r="C393" t="s">
        <v>14</v>
      </c>
      <c r="D393" t="s">
        <v>15</v>
      </c>
      <c r="E393">
        <v>100000</v>
      </c>
      <c r="F393" t="s">
        <v>16</v>
      </c>
      <c r="G393">
        <v>100000</v>
      </c>
      <c r="H393" t="s">
        <v>17</v>
      </c>
      <c r="I393">
        <v>0</v>
      </c>
      <c r="J393" t="s">
        <v>17</v>
      </c>
      <c r="K393" t="s">
        <v>18</v>
      </c>
      <c r="L393" s="3">
        <f t="shared" si="12"/>
        <v>-6765.3709449929447</v>
      </c>
      <c r="M393" s="3">
        <f t="shared" si="13"/>
        <v>45770244.023354732</v>
      </c>
    </row>
    <row r="394" spans="1:13" customFormat="1">
      <c r="A394">
        <v>2022</v>
      </c>
      <c r="B394" t="s">
        <v>13</v>
      </c>
      <c r="C394" t="s">
        <v>14</v>
      </c>
      <c r="D394" t="s">
        <v>15</v>
      </c>
      <c r="E394">
        <v>115934</v>
      </c>
      <c r="F394" t="s">
        <v>16</v>
      </c>
      <c r="G394">
        <v>115934</v>
      </c>
      <c r="H394" t="s">
        <v>17</v>
      </c>
      <c r="I394">
        <v>100</v>
      </c>
      <c r="J394" t="s">
        <v>17</v>
      </c>
      <c r="K394" t="s">
        <v>18</v>
      </c>
      <c r="L394" s="3">
        <f t="shared" si="12"/>
        <v>9168.6290550070553</v>
      </c>
      <c r="M394" s="3">
        <f t="shared" si="13"/>
        <v>84063758.748319566</v>
      </c>
    </row>
    <row r="395" spans="1:13" customFormat="1">
      <c r="A395">
        <v>2022</v>
      </c>
      <c r="B395" t="s">
        <v>13</v>
      </c>
      <c r="C395" t="s">
        <v>14</v>
      </c>
      <c r="D395" t="s">
        <v>15</v>
      </c>
      <c r="E395">
        <v>81666</v>
      </c>
      <c r="F395" t="s">
        <v>16</v>
      </c>
      <c r="G395">
        <v>81666</v>
      </c>
      <c r="H395" t="s">
        <v>17</v>
      </c>
      <c r="I395">
        <v>100</v>
      </c>
      <c r="J395" t="s">
        <v>17</v>
      </c>
      <c r="K395" t="s">
        <v>18</v>
      </c>
      <c r="L395" s="3">
        <f t="shared" si="12"/>
        <v>-25099.370944992945</v>
      </c>
      <c r="M395" s="3">
        <f t="shared" si="13"/>
        <v>629978421.83435607</v>
      </c>
    </row>
    <row r="396" spans="1:13" customFormat="1">
      <c r="A396">
        <v>2022</v>
      </c>
      <c r="B396" t="s">
        <v>13</v>
      </c>
      <c r="C396" t="s">
        <v>14</v>
      </c>
      <c r="D396" t="s">
        <v>15</v>
      </c>
      <c r="E396">
        <v>120000</v>
      </c>
      <c r="F396" t="s">
        <v>16</v>
      </c>
      <c r="G396">
        <v>120000</v>
      </c>
      <c r="H396" t="s">
        <v>17</v>
      </c>
      <c r="I396">
        <v>0</v>
      </c>
      <c r="J396" t="s">
        <v>17</v>
      </c>
      <c r="K396" t="s">
        <v>18</v>
      </c>
      <c r="L396" s="3">
        <f t="shared" si="12"/>
        <v>13234.629055007055</v>
      </c>
      <c r="M396" s="3">
        <f t="shared" si="13"/>
        <v>175155406.22363696</v>
      </c>
    </row>
    <row r="397" spans="1:13" customFormat="1">
      <c r="A397">
        <v>2022</v>
      </c>
      <c r="B397" t="s">
        <v>13</v>
      </c>
      <c r="C397" t="s">
        <v>14</v>
      </c>
      <c r="D397" t="s">
        <v>15</v>
      </c>
      <c r="E397">
        <v>95000</v>
      </c>
      <c r="F397" t="s">
        <v>16</v>
      </c>
      <c r="G397">
        <v>95000</v>
      </c>
      <c r="H397" t="s">
        <v>17</v>
      </c>
      <c r="I397">
        <v>0</v>
      </c>
      <c r="J397" t="s">
        <v>17</v>
      </c>
      <c r="K397" t="s">
        <v>18</v>
      </c>
      <c r="L397" s="3">
        <f t="shared" si="12"/>
        <v>-11765.370944992945</v>
      </c>
      <c r="M397" s="3">
        <f t="shared" si="13"/>
        <v>138423953.47328418</v>
      </c>
    </row>
    <row r="398" spans="1:13" customFormat="1">
      <c r="A398">
        <v>2022</v>
      </c>
      <c r="B398" t="s">
        <v>13</v>
      </c>
      <c r="C398" t="s">
        <v>14</v>
      </c>
      <c r="D398" t="s">
        <v>15</v>
      </c>
      <c r="E398">
        <v>201000</v>
      </c>
      <c r="F398" t="s">
        <v>16</v>
      </c>
      <c r="G398">
        <v>201000</v>
      </c>
      <c r="H398" t="s">
        <v>17</v>
      </c>
      <c r="I398">
        <v>100</v>
      </c>
      <c r="J398" t="s">
        <v>17</v>
      </c>
      <c r="K398" t="s">
        <v>18</v>
      </c>
      <c r="L398" s="3">
        <f t="shared" si="12"/>
        <v>94234.629055007055</v>
      </c>
      <c r="M398" s="3">
        <f t="shared" si="13"/>
        <v>8880165313.134779</v>
      </c>
    </row>
    <row r="399" spans="1:13" customFormat="1">
      <c r="A399">
        <v>2022</v>
      </c>
      <c r="B399" t="s">
        <v>13</v>
      </c>
      <c r="C399" t="s">
        <v>14</v>
      </c>
      <c r="D399" t="s">
        <v>15</v>
      </c>
      <c r="E399">
        <v>89200</v>
      </c>
      <c r="F399" t="s">
        <v>16</v>
      </c>
      <c r="G399">
        <v>89200</v>
      </c>
      <c r="H399" t="s">
        <v>17</v>
      </c>
      <c r="I399">
        <v>100</v>
      </c>
      <c r="J399" t="s">
        <v>17</v>
      </c>
      <c r="K399" t="s">
        <v>18</v>
      </c>
      <c r="L399" s="3">
        <f t="shared" si="12"/>
        <v>-17565.370944992945</v>
      </c>
      <c r="M399" s="3">
        <f t="shared" si="13"/>
        <v>308542256.43520236</v>
      </c>
    </row>
    <row r="400" spans="1:13" customFormat="1">
      <c r="A400">
        <v>2022</v>
      </c>
      <c r="B400" t="s">
        <v>13</v>
      </c>
      <c r="C400" t="s">
        <v>14</v>
      </c>
      <c r="D400" t="s">
        <v>15</v>
      </c>
      <c r="E400">
        <v>192500</v>
      </c>
      <c r="F400" t="s">
        <v>16</v>
      </c>
      <c r="G400">
        <v>192500</v>
      </c>
      <c r="H400" t="s">
        <v>17</v>
      </c>
      <c r="I400">
        <v>100</v>
      </c>
      <c r="J400" t="s">
        <v>17</v>
      </c>
      <c r="K400" t="s">
        <v>18</v>
      </c>
      <c r="L400" s="3">
        <f t="shared" si="12"/>
        <v>85734.629055007055</v>
      </c>
      <c r="M400" s="3">
        <f t="shared" si="13"/>
        <v>7350426619.1996603</v>
      </c>
    </row>
    <row r="401" spans="1:13" customFormat="1">
      <c r="A401">
        <v>2022</v>
      </c>
      <c r="B401" t="s">
        <v>13</v>
      </c>
      <c r="C401" t="s">
        <v>14</v>
      </c>
      <c r="D401" t="s">
        <v>15</v>
      </c>
      <c r="E401">
        <v>140000</v>
      </c>
      <c r="F401" t="s">
        <v>16</v>
      </c>
      <c r="G401">
        <v>140000</v>
      </c>
      <c r="H401" t="s">
        <v>17</v>
      </c>
      <c r="I401">
        <v>100</v>
      </c>
      <c r="J401" t="s">
        <v>17</v>
      </c>
      <c r="K401" t="s">
        <v>18</v>
      </c>
      <c r="L401" s="3">
        <f t="shared" si="12"/>
        <v>33234.629055007055</v>
      </c>
      <c r="M401" s="3">
        <f t="shared" si="13"/>
        <v>1104540568.4239192</v>
      </c>
    </row>
    <row r="402" spans="1:13" customFormat="1">
      <c r="A402">
        <v>2022</v>
      </c>
      <c r="B402" t="s">
        <v>13</v>
      </c>
      <c r="C402" t="s">
        <v>14</v>
      </c>
      <c r="D402" t="s">
        <v>15</v>
      </c>
      <c r="E402">
        <v>65000</v>
      </c>
      <c r="F402" t="s">
        <v>16</v>
      </c>
      <c r="G402">
        <v>65000</v>
      </c>
      <c r="H402" t="s">
        <v>17</v>
      </c>
      <c r="I402">
        <v>100</v>
      </c>
      <c r="J402" t="s">
        <v>17</v>
      </c>
      <c r="K402" t="s">
        <v>18</v>
      </c>
      <c r="L402" s="3">
        <f t="shared" si="12"/>
        <v>-41765.370944992945</v>
      </c>
      <c r="M402" s="3">
        <f t="shared" si="13"/>
        <v>1744346210.1728609</v>
      </c>
    </row>
    <row r="403" spans="1:13" customFormat="1">
      <c r="A403">
        <v>2022</v>
      </c>
      <c r="B403" t="s">
        <v>13</v>
      </c>
      <c r="C403" t="s">
        <v>14</v>
      </c>
      <c r="D403" t="s">
        <v>15</v>
      </c>
      <c r="E403">
        <v>55000</v>
      </c>
      <c r="F403" t="s">
        <v>16</v>
      </c>
      <c r="G403">
        <v>55000</v>
      </c>
      <c r="H403" t="s">
        <v>17</v>
      </c>
      <c r="I403">
        <v>100</v>
      </c>
      <c r="J403" t="s">
        <v>17</v>
      </c>
      <c r="K403" t="s">
        <v>18</v>
      </c>
      <c r="L403" s="3">
        <f t="shared" si="12"/>
        <v>-51765.370944992945</v>
      </c>
      <c r="M403" s="3">
        <f t="shared" si="13"/>
        <v>2679653629.0727196</v>
      </c>
    </row>
    <row r="404" spans="1:13" customFormat="1">
      <c r="A404">
        <v>2020</v>
      </c>
      <c r="B404" t="s">
        <v>19</v>
      </c>
      <c r="C404" t="s">
        <v>14</v>
      </c>
      <c r="D404" t="s">
        <v>40</v>
      </c>
      <c r="E404">
        <v>95000</v>
      </c>
      <c r="F404" t="s">
        <v>16</v>
      </c>
      <c r="G404">
        <v>95000</v>
      </c>
      <c r="H404" t="s">
        <v>17</v>
      </c>
      <c r="I404">
        <v>0</v>
      </c>
      <c r="J404" t="s">
        <v>17</v>
      </c>
      <c r="K404" t="s">
        <v>18</v>
      </c>
      <c r="L404" s="3">
        <f t="shared" si="12"/>
        <v>-11765.370944992945</v>
      </c>
      <c r="M404" s="3">
        <f t="shared" si="13"/>
        <v>138423953.47328418</v>
      </c>
    </row>
    <row r="405" spans="1:13" customFormat="1">
      <c r="A405">
        <v>2021</v>
      </c>
      <c r="B405" t="s">
        <v>13</v>
      </c>
      <c r="C405" t="s">
        <v>14</v>
      </c>
      <c r="D405" t="s">
        <v>15</v>
      </c>
      <c r="E405">
        <v>115000</v>
      </c>
      <c r="F405" t="s">
        <v>16</v>
      </c>
      <c r="G405">
        <v>115000</v>
      </c>
      <c r="H405" t="s">
        <v>17</v>
      </c>
      <c r="I405">
        <v>100</v>
      </c>
      <c r="J405" t="s">
        <v>17</v>
      </c>
      <c r="K405" t="s">
        <v>57</v>
      </c>
      <c r="L405" s="3">
        <f t="shared" si="12"/>
        <v>8234.6290550070553</v>
      </c>
      <c r="M405" s="3">
        <f t="shared" si="13"/>
        <v>67809115.673566386</v>
      </c>
    </row>
    <row r="406" spans="1:13" customFormat="1">
      <c r="A406">
        <v>2022</v>
      </c>
      <c r="B406" t="s">
        <v>13</v>
      </c>
      <c r="C406" t="s">
        <v>14</v>
      </c>
      <c r="D406" t="s">
        <v>15</v>
      </c>
      <c r="E406">
        <v>171000</v>
      </c>
      <c r="F406" t="s">
        <v>16</v>
      </c>
      <c r="G406">
        <v>171000</v>
      </c>
      <c r="H406" t="s">
        <v>17</v>
      </c>
      <c r="I406">
        <v>100</v>
      </c>
      <c r="J406" t="s">
        <v>73</v>
      </c>
      <c r="K406" t="s">
        <v>31</v>
      </c>
      <c r="L406" s="3">
        <f t="shared" si="12"/>
        <v>64234.629055007055</v>
      </c>
      <c r="M406" s="3">
        <f t="shared" si="13"/>
        <v>4126087569.8343568</v>
      </c>
    </row>
    <row r="407" spans="1:13" customFormat="1">
      <c r="A407">
        <v>2022</v>
      </c>
      <c r="B407" t="s">
        <v>28</v>
      </c>
      <c r="C407" t="s">
        <v>74</v>
      </c>
      <c r="D407" t="s">
        <v>75</v>
      </c>
      <c r="E407">
        <v>50000</v>
      </c>
      <c r="F407" t="s">
        <v>16</v>
      </c>
      <c r="G407">
        <v>50000</v>
      </c>
      <c r="H407" t="s">
        <v>76</v>
      </c>
      <c r="I407">
        <v>100</v>
      </c>
      <c r="J407" t="s">
        <v>17</v>
      </c>
      <c r="K407" t="s">
        <v>57</v>
      </c>
      <c r="L407" s="3">
        <f t="shared" si="12"/>
        <v>-56765.370944992945</v>
      </c>
      <c r="M407" s="3">
        <f t="shared" si="13"/>
        <v>3222307338.5226493</v>
      </c>
    </row>
    <row r="408" spans="1:13" customFormat="1">
      <c r="A408">
        <v>2022</v>
      </c>
      <c r="B408" t="s">
        <v>19</v>
      </c>
      <c r="C408" t="s">
        <v>14</v>
      </c>
      <c r="D408" t="s">
        <v>15</v>
      </c>
      <c r="E408">
        <v>150000</v>
      </c>
      <c r="F408" t="s">
        <v>16</v>
      </c>
      <c r="G408">
        <v>150000</v>
      </c>
      <c r="H408" t="s">
        <v>17</v>
      </c>
      <c r="I408">
        <v>0</v>
      </c>
      <c r="J408" t="s">
        <v>17</v>
      </c>
      <c r="K408" t="s">
        <v>18</v>
      </c>
      <c r="L408" s="3">
        <f t="shared" si="12"/>
        <v>43234.629055007055</v>
      </c>
      <c r="M408" s="3">
        <f t="shared" si="13"/>
        <v>1869233149.5240602</v>
      </c>
    </row>
    <row r="409" spans="1:13" customFormat="1">
      <c r="A409">
        <v>2022</v>
      </c>
      <c r="B409" t="s">
        <v>19</v>
      </c>
      <c r="C409" t="s">
        <v>14</v>
      </c>
      <c r="D409" t="s">
        <v>15</v>
      </c>
      <c r="E409">
        <v>100000</v>
      </c>
      <c r="F409" t="s">
        <v>16</v>
      </c>
      <c r="G409">
        <v>100000</v>
      </c>
      <c r="H409" t="s">
        <v>17</v>
      </c>
      <c r="I409">
        <v>0</v>
      </c>
      <c r="J409" t="s">
        <v>17</v>
      </c>
      <c r="K409" t="s">
        <v>18</v>
      </c>
      <c r="L409" s="3">
        <f t="shared" si="12"/>
        <v>-6765.3709449929447</v>
      </c>
      <c r="M409" s="3">
        <f t="shared" si="13"/>
        <v>45770244.023354732</v>
      </c>
    </row>
    <row r="410" spans="1:13" customFormat="1">
      <c r="A410">
        <v>2022</v>
      </c>
      <c r="B410" t="s">
        <v>19</v>
      </c>
      <c r="C410" t="s">
        <v>14</v>
      </c>
      <c r="D410" t="s">
        <v>15</v>
      </c>
      <c r="E410">
        <v>165000</v>
      </c>
      <c r="F410" t="s">
        <v>16</v>
      </c>
      <c r="G410">
        <v>165000</v>
      </c>
      <c r="H410" t="s">
        <v>17</v>
      </c>
      <c r="I410">
        <v>0</v>
      </c>
      <c r="J410" t="s">
        <v>17</v>
      </c>
      <c r="K410" t="s">
        <v>18</v>
      </c>
      <c r="L410" s="3">
        <f t="shared" si="12"/>
        <v>58234.629055007055</v>
      </c>
      <c r="M410" s="3">
        <f t="shared" si="13"/>
        <v>3391272021.1742721</v>
      </c>
    </row>
    <row r="411" spans="1:13" customFormat="1">
      <c r="A411">
        <v>2022</v>
      </c>
      <c r="B411" t="s">
        <v>19</v>
      </c>
      <c r="C411" t="s">
        <v>14</v>
      </c>
      <c r="D411" t="s">
        <v>15</v>
      </c>
      <c r="E411">
        <v>124000</v>
      </c>
      <c r="F411" t="s">
        <v>16</v>
      </c>
      <c r="G411">
        <v>124000</v>
      </c>
      <c r="H411" t="s">
        <v>17</v>
      </c>
      <c r="I411">
        <v>0</v>
      </c>
      <c r="J411" t="s">
        <v>17</v>
      </c>
      <c r="K411" t="s">
        <v>18</v>
      </c>
      <c r="L411" s="3">
        <f t="shared" si="12"/>
        <v>17234.629055007055</v>
      </c>
      <c r="M411" s="3">
        <f t="shared" si="13"/>
        <v>297032438.66369337</v>
      </c>
    </row>
    <row r="412" spans="1:13" customFormat="1">
      <c r="A412">
        <v>2022</v>
      </c>
      <c r="B412" t="s">
        <v>13</v>
      </c>
      <c r="C412" t="s">
        <v>14</v>
      </c>
      <c r="D412" t="s">
        <v>15</v>
      </c>
      <c r="E412">
        <v>169000</v>
      </c>
      <c r="F412" t="s">
        <v>16</v>
      </c>
      <c r="G412">
        <v>169000</v>
      </c>
      <c r="H412" t="s">
        <v>17</v>
      </c>
      <c r="I412">
        <v>0</v>
      </c>
      <c r="J412" t="s">
        <v>17</v>
      </c>
      <c r="K412" t="s">
        <v>18</v>
      </c>
      <c r="L412" s="3">
        <f t="shared" si="12"/>
        <v>62234.629055007055</v>
      </c>
      <c r="M412" s="3">
        <f t="shared" si="13"/>
        <v>3873149053.6143284</v>
      </c>
    </row>
    <row r="413" spans="1:13" customFormat="1">
      <c r="A413">
        <v>2022</v>
      </c>
      <c r="B413" t="s">
        <v>13</v>
      </c>
      <c r="C413" t="s">
        <v>14</v>
      </c>
      <c r="D413" t="s">
        <v>15</v>
      </c>
      <c r="E413">
        <v>110600</v>
      </c>
      <c r="F413" t="s">
        <v>16</v>
      </c>
      <c r="G413">
        <v>110600</v>
      </c>
      <c r="H413" t="s">
        <v>17</v>
      </c>
      <c r="I413">
        <v>0</v>
      </c>
      <c r="J413" t="s">
        <v>17</v>
      </c>
      <c r="K413" t="s">
        <v>18</v>
      </c>
      <c r="L413" s="3">
        <f t="shared" si="12"/>
        <v>3834.6290550070553</v>
      </c>
      <c r="M413" s="3">
        <f t="shared" si="13"/>
        <v>14704379.989504302</v>
      </c>
    </row>
    <row r="414" spans="1:13" customFormat="1">
      <c r="A414">
        <v>2022</v>
      </c>
      <c r="B414" t="s">
        <v>13</v>
      </c>
      <c r="C414" t="s">
        <v>14</v>
      </c>
      <c r="D414" t="s">
        <v>15</v>
      </c>
      <c r="E414">
        <v>116000</v>
      </c>
      <c r="F414" t="s">
        <v>16</v>
      </c>
      <c r="G414">
        <v>116000</v>
      </c>
      <c r="H414" t="s">
        <v>17</v>
      </c>
      <c r="I414">
        <v>100</v>
      </c>
      <c r="J414" t="s">
        <v>17</v>
      </c>
      <c r="K414" t="s">
        <v>18</v>
      </c>
      <c r="L414" s="3">
        <f t="shared" si="12"/>
        <v>9234.6290550070553</v>
      </c>
      <c r="M414" s="3">
        <f t="shared" si="13"/>
        <v>85278373.783580497</v>
      </c>
    </row>
    <row r="415" spans="1:13" customFormat="1">
      <c r="A415">
        <v>2022</v>
      </c>
      <c r="B415" t="s">
        <v>13</v>
      </c>
      <c r="C415" t="s">
        <v>14</v>
      </c>
      <c r="D415" t="s">
        <v>15</v>
      </c>
      <c r="E415">
        <v>96000</v>
      </c>
      <c r="F415" t="s">
        <v>16</v>
      </c>
      <c r="G415">
        <v>96000</v>
      </c>
      <c r="H415" t="s">
        <v>17</v>
      </c>
      <c r="I415">
        <v>100</v>
      </c>
      <c r="J415" t="s">
        <v>17</v>
      </c>
      <c r="K415" t="s">
        <v>18</v>
      </c>
      <c r="L415" s="3">
        <f t="shared" si="12"/>
        <v>-10765.370944992945</v>
      </c>
      <c r="M415" s="3">
        <f t="shared" si="13"/>
        <v>115893211.58329828</v>
      </c>
    </row>
    <row r="416" spans="1:13" customFormat="1">
      <c r="A416">
        <v>2022</v>
      </c>
      <c r="B416" t="s">
        <v>13</v>
      </c>
      <c r="C416" t="s">
        <v>14</v>
      </c>
      <c r="D416" t="s">
        <v>15</v>
      </c>
      <c r="E416">
        <v>75000</v>
      </c>
      <c r="F416" t="s">
        <v>41</v>
      </c>
      <c r="G416">
        <v>92350</v>
      </c>
      <c r="H416" t="s">
        <v>42</v>
      </c>
      <c r="I416">
        <v>0</v>
      </c>
      <c r="J416" t="s">
        <v>42</v>
      </c>
      <c r="K416" t="s">
        <v>18</v>
      </c>
      <c r="L416" s="3">
        <f t="shared" si="12"/>
        <v>-14415.370944992945</v>
      </c>
      <c r="M416" s="3">
        <f t="shared" si="13"/>
        <v>207802919.48174679</v>
      </c>
    </row>
    <row r="417" spans="1:13" customFormat="1">
      <c r="A417">
        <v>2022</v>
      </c>
      <c r="B417" t="s">
        <v>13</v>
      </c>
      <c r="C417" t="s">
        <v>14</v>
      </c>
      <c r="D417" t="s">
        <v>15</v>
      </c>
      <c r="E417">
        <v>57000</v>
      </c>
      <c r="F417" t="s">
        <v>41</v>
      </c>
      <c r="G417">
        <v>70186</v>
      </c>
      <c r="H417" t="s">
        <v>42</v>
      </c>
      <c r="I417">
        <v>0</v>
      </c>
      <c r="J417" t="s">
        <v>42</v>
      </c>
      <c r="K417" t="s">
        <v>18</v>
      </c>
      <c r="L417" s="3">
        <f t="shared" si="12"/>
        <v>-36579.370944992945</v>
      </c>
      <c r="M417" s="3">
        <f t="shared" si="13"/>
        <v>1338050378.7313941</v>
      </c>
    </row>
    <row r="418" spans="1:13" customFormat="1">
      <c r="A418">
        <v>2022</v>
      </c>
      <c r="B418" t="s">
        <v>13</v>
      </c>
      <c r="C418" t="s">
        <v>14</v>
      </c>
      <c r="D418" t="s">
        <v>15</v>
      </c>
      <c r="E418">
        <v>105000</v>
      </c>
      <c r="F418" t="s">
        <v>16</v>
      </c>
      <c r="G418">
        <v>105000</v>
      </c>
      <c r="H418" t="s">
        <v>17</v>
      </c>
      <c r="I418">
        <v>0</v>
      </c>
      <c r="J418" t="s">
        <v>17</v>
      </c>
      <c r="K418" t="s">
        <v>18</v>
      </c>
      <c r="L418" s="3">
        <f t="shared" si="12"/>
        <v>-1765.3709449929447</v>
      </c>
      <c r="M418" s="3">
        <f t="shared" si="13"/>
        <v>3116534.5734252827</v>
      </c>
    </row>
    <row r="419" spans="1:13" customFormat="1">
      <c r="A419">
        <v>2022</v>
      </c>
      <c r="B419" t="s">
        <v>13</v>
      </c>
      <c r="C419" t="s">
        <v>14</v>
      </c>
      <c r="D419" t="s">
        <v>15</v>
      </c>
      <c r="E419">
        <v>70000</v>
      </c>
      <c r="F419" t="s">
        <v>16</v>
      </c>
      <c r="G419">
        <v>70000</v>
      </c>
      <c r="H419" t="s">
        <v>17</v>
      </c>
      <c r="I419">
        <v>0</v>
      </c>
      <c r="J419" t="s">
        <v>17</v>
      </c>
      <c r="K419" t="s">
        <v>18</v>
      </c>
      <c r="L419" s="3">
        <f t="shared" si="12"/>
        <v>-36765.370944992945</v>
      </c>
      <c r="M419" s="3">
        <f t="shared" si="13"/>
        <v>1351692500.7229314</v>
      </c>
    </row>
    <row r="420" spans="1:13" customFormat="1">
      <c r="A420">
        <v>2022</v>
      </c>
      <c r="B420" t="s">
        <v>13</v>
      </c>
      <c r="C420" t="s">
        <v>14</v>
      </c>
      <c r="D420" t="s">
        <v>15</v>
      </c>
      <c r="E420">
        <v>100000</v>
      </c>
      <c r="F420" t="s">
        <v>16</v>
      </c>
      <c r="G420">
        <v>100000</v>
      </c>
      <c r="H420" t="s">
        <v>17</v>
      </c>
      <c r="I420">
        <v>0</v>
      </c>
      <c r="J420" t="s">
        <v>17</v>
      </c>
      <c r="K420" t="s">
        <v>18</v>
      </c>
      <c r="L420" s="3">
        <f t="shared" si="12"/>
        <v>-6765.3709449929447</v>
      </c>
      <c r="M420" s="3">
        <f t="shared" si="13"/>
        <v>45770244.023354732</v>
      </c>
    </row>
    <row r="421" spans="1:13" customFormat="1">
      <c r="A421">
        <v>2022</v>
      </c>
      <c r="B421" t="s">
        <v>13</v>
      </c>
      <c r="C421" t="s">
        <v>14</v>
      </c>
      <c r="D421" t="s">
        <v>15</v>
      </c>
      <c r="E421">
        <v>70000</v>
      </c>
      <c r="F421" t="s">
        <v>16</v>
      </c>
      <c r="G421">
        <v>70000</v>
      </c>
      <c r="H421" t="s">
        <v>17</v>
      </c>
      <c r="I421">
        <v>0</v>
      </c>
      <c r="J421" t="s">
        <v>17</v>
      </c>
      <c r="K421" t="s">
        <v>18</v>
      </c>
      <c r="L421" s="3">
        <f t="shared" si="12"/>
        <v>-36765.370944992945</v>
      </c>
      <c r="M421" s="3">
        <f t="shared" si="13"/>
        <v>1351692500.7229314</v>
      </c>
    </row>
    <row r="422" spans="1:13" customFormat="1">
      <c r="A422">
        <v>2022</v>
      </c>
      <c r="B422" t="s">
        <v>13</v>
      </c>
      <c r="C422" t="s">
        <v>14</v>
      </c>
      <c r="D422" t="s">
        <v>15</v>
      </c>
      <c r="E422">
        <v>130000</v>
      </c>
      <c r="F422" t="s">
        <v>16</v>
      </c>
      <c r="G422">
        <v>130000</v>
      </c>
      <c r="H422" t="s">
        <v>17</v>
      </c>
      <c r="I422">
        <v>0</v>
      </c>
      <c r="J422" t="s">
        <v>17</v>
      </c>
      <c r="K422" t="s">
        <v>18</v>
      </c>
      <c r="L422" s="3">
        <f t="shared" si="12"/>
        <v>23234.629055007055</v>
      </c>
      <c r="M422" s="3">
        <f t="shared" si="13"/>
        <v>539847987.32377803</v>
      </c>
    </row>
    <row r="423" spans="1:13" customFormat="1">
      <c r="A423">
        <v>2022</v>
      </c>
      <c r="B423" t="s">
        <v>13</v>
      </c>
      <c r="C423" t="s">
        <v>14</v>
      </c>
      <c r="D423" t="s">
        <v>15</v>
      </c>
      <c r="E423">
        <v>100000</v>
      </c>
      <c r="F423" t="s">
        <v>16</v>
      </c>
      <c r="G423">
        <v>100000</v>
      </c>
      <c r="H423" t="s">
        <v>17</v>
      </c>
      <c r="I423">
        <v>0</v>
      </c>
      <c r="J423" t="s">
        <v>17</v>
      </c>
      <c r="K423" t="s">
        <v>18</v>
      </c>
      <c r="L423" s="3">
        <f t="shared" si="12"/>
        <v>-6765.3709449929447</v>
      </c>
      <c r="M423" s="3">
        <f t="shared" si="13"/>
        <v>45770244.023354732</v>
      </c>
    </row>
    <row r="424" spans="1:13" customFormat="1">
      <c r="A424">
        <v>2022</v>
      </c>
      <c r="B424" t="s">
        <v>19</v>
      </c>
      <c r="C424" t="s">
        <v>14</v>
      </c>
      <c r="D424" t="s">
        <v>15</v>
      </c>
      <c r="E424">
        <v>160000</v>
      </c>
      <c r="F424" t="s">
        <v>16</v>
      </c>
      <c r="G424">
        <v>160000</v>
      </c>
      <c r="H424" t="s">
        <v>17</v>
      </c>
      <c r="I424">
        <v>0</v>
      </c>
      <c r="J424" t="s">
        <v>17</v>
      </c>
      <c r="K424" t="s">
        <v>18</v>
      </c>
      <c r="L424" s="3">
        <f t="shared" si="12"/>
        <v>53234.629055007055</v>
      </c>
      <c r="M424" s="3">
        <f t="shared" si="13"/>
        <v>2833925730.6242013</v>
      </c>
    </row>
    <row r="425" spans="1:13" customFormat="1">
      <c r="A425">
        <v>2022</v>
      </c>
      <c r="B425" t="s">
        <v>19</v>
      </c>
      <c r="C425" t="s">
        <v>14</v>
      </c>
      <c r="D425" t="s">
        <v>15</v>
      </c>
      <c r="E425">
        <v>109000</v>
      </c>
      <c r="F425" t="s">
        <v>16</v>
      </c>
      <c r="G425">
        <v>109000</v>
      </c>
      <c r="H425" t="s">
        <v>17</v>
      </c>
      <c r="I425">
        <v>0</v>
      </c>
      <c r="J425" t="s">
        <v>17</v>
      </c>
      <c r="K425" t="s">
        <v>18</v>
      </c>
      <c r="L425" s="3">
        <f t="shared" si="12"/>
        <v>2234.6290550070553</v>
      </c>
      <c r="M425" s="3">
        <f t="shared" si="13"/>
        <v>4993567.013481725</v>
      </c>
    </row>
    <row r="426" spans="1:13" customFormat="1">
      <c r="A426">
        <v>2022</v>
      </c>
      <c r="B426" t="s">
        <v>19</v>
      </c>
      <c r="C426" t="s">
        <v>14</v>
      </c>
      <c r="D426" t="s">
        <v>15</v>
      </c>
      <c r="E426">
        <v>206000</v>
      </c>
      <c r="F426" t="s">
        <v>16</v>
      </c>
      <c r="G426">
        <v>206000</v>
      </c>
      <c r="H426" t="s">
        <v>17</v>
      </c>
      <c r="I426">
        <v>0</v>
      </c>
      <c r="J426" t="s">
        <v>17</v>
      </c>
      <c r="K426" t="s">
        <v>18</v>
      </c>
      <c r="L426" s="3">
        <f t="shared" si="12"/>
        <v>99234.629055007055</v>
      </c>
      <c r="M426" s="3">
        <f t="shared" si="13"/>
        <v>9847511603.6848507</v>
      </c>
    </row>
    <row r="427" spans="1:13" customFormat="1">
      <c r="A427">
        <v>2022</v>
      </c>
      <c r="B427" t="s">
        <v>19</v>
      </c>
      <c r="C427" t="s">
        <v>14</v>
      </c>
      <c r="D427" t="s">
        <v>15</v>
      </c>
      <c r="E427">
        <v>160000</v>
      </c>
      <c r="F427" t="s">
        <v>16</v>
      </c>
      <c r="G427">
        <v>160000</v>
      </c>
      <c r="H427" t="s">
        <v>17</v>
      </c>
      <c r="I427">
        <v>0</v>
      </c>
      <c r="J427" t="s">
        <v>17</v>
      </c>
      <c r="K427" t="s">
        <v>18</v>
      </c>
      <c r="L427" s="3">
        <f t="shared" si="12"/>
        <v>53234.629055007055</v>
      </c>
      <c r="M427" s="3">
        <f t="shared" si="13"/>
        <v>2833925730.6242013</v>
      </c>
    </row>
    <row r="428" spans="1:13" customFormat="1">
      <c r="A428">
        <v>2022</v>
      </c>
      <c r="B428" t="s">
        <v>19</v>
      </c>
      <c r="C428" t="s">
        <v>14</v>
      </c>
      <c r="D428" t="s">
        <v>15</v>
      </c>
      <c r="E428">
        <v>150000</v>
      </c>
      <c r="F428" t="s">
        <v>16</v>
      </c>
      <c r="G428">
        <v>150000</v>
      </c>
      <c r="H428" t="s">
        <v>17</v>
      </c>
      <c r="I428">
        <v>0</v>
      </c>
      <c r="J428" t="s">
        <v>17</v>
      </c>
      <c r="K428" t="s">
        <v>18</v>
      </c>
      <c r="L428" s="3">
        <f t="shared" si="12"/>
        <v>43234.629055007055</v>
      </c>
      <c r="M428" s="3">
        <f t="shared" si="13"/>
        <v>1869233149.5240602</v>
      </c>
    </row>
    <row r="429" spans="1:13" customFormat="1">
      <c r="A429">
        <v>2022</v>
      </c>
      <c r="B429" t="s">
        <v>19</v>
      </c>
      <c r="C429" t="s">
        <v>14</v>
      </c>
      <c r="D429" t="s">
        <v>15</v>
      </c>
      <c r="E429">
        <v>100000</v>
      </c>
      <c r="F429" t="s">
        <v>16</v>
      </c>
      <c r="G429">
        <v>100000</v>
      </c>
      <c r="H429" t="s">
        <v>17</v>
      </c>
      <c r="I429">
        <v>0</v>
      </c>
      <c r="J429" t="s">
        <v>17</v>
      </c>
      <c r="K429" t="s">
        <v>18</v>
      </c>
      <c r="L429" s="3">
        <f t="shared" si="12"/>
        <v>-6765.3709449929447</v>
      </c>
      <c r="M429" s="3">
        <f t="shared" si="13"/>
        <v>45770244.023354732</v>
      </c>
    </row>
    <row r="430" spans="1:13" customFormat="1">
      <c r="A430">
        <v>2022</v>
      </c>
      <c r="B430" t="s">
        <v>13</v>
      </c>
      <c r="C430" t="s">
        <v>14</v>
      </c>
      <c r="D430" t="s">
        <v>15</v>
      </c>
      <c r="E430">
        <v>169000</v>
      </c>
      <c r="F430" t="s">
        <v>16</v>
      </c>
      <c r="G430">
        <v>169000</v>
      </c>
      <c r="H430" t="s">
        <v>17</v>
      </c>
      <c r="I430">
        <v>0</v>
      </c>
      <c r="J430" t="s">
        <v>17</v>
      </c>
      <c r="K430" t="s">
        <v>18</v>
      </c>
      <c r="L430" s="3">
        <f t="shared" si="12"/>
        <v>62234.629055007055</v>
      </c>
      <c r="M430" s="3">
        <f t="shared" si="13"/>
        <v>3873149053.6143284</v>
      </c>
    </row>
    <row r="431" spans="1:13" customFormat="1">
      <c r="A431">
        <v>2022</v>
      </c>
      <c r="B431" t="s">
        <v>13</v>
      </c>
      <c r="C431" t="s">
        <v>14</v>
      </c>
      <c r="D431" t="s">
        <v>15</v>
      </c>
      <c r="E431">
        <v>110600</v>
      </c>
      <c r="F431" t="s">
        <v>16</v>
      </c>
      <c r="G431">
        <v>110600</v>
      </c>
      <c r="H431" t="s">
        <v>17</v>
      </c>
      <c r="I431">
        <v>0</v>
      </c>
      <c r="J431" t="s">
        <v>17</v>
      </c>
      <c r="K431" t="s">
        <v>18</v>
      </c>
      <c r="L431" s="3">
        <f t="shared" si="12"/>
        <v>3834.6290550070553</v>
      </c>
      <c r="M431" s="3">
        <f t="shared" si="13"/>
        <v>14704379.989504302</v>
      </c>
    </row>
    <row r="432" spans="1:13" customFormat="1">
      <c r="A432">
        <v>2022</v>
      </c>
      <c r="B432" t="s">
        <v>19</v>
      </c>
      <c r="C432" t="s">
        <v>14</v>
      </c>
      <c r="D432" t="s">
        <v>15</v>
      </c>
      <c r="E432">
        <v>80000</v>
      </c>
      <c r="F432" t="s">
        <v>16</v>
      </c>
      <c r="G432">
        <v>80000</v>
      </c>
      <c r="H432" t="s">
        <v>17</v>
      </c>
      <c r="I432">
        <v>100</v>
      </c>
      <c r="J432" t="s">
        <v>17</v>
      </c>
      <c r="K432" t="s">
        <v>31</v>
      </c>
      <c r="L432" s="3">
        <f t="shared" si="12"/>
        <v>-26765.370944992945</v>
      </c>
      <c r="M432" s="3">
        <f t="shared" si="13"/>
        <v>716385081.82307255</v>
      </c>
    </row>
    <row r="433" spans="1:13" customFormat="1">
      <c r="A433">
        <v>2022</v>
      </c>
      <c r="B433" t="s">
        <v>19</v>
      </c>
      <c r="C433" t="s">
        <v>14</v>
      </c>
      <c r="D433" t="s">
        <v>36</v>
      </c>
      <c r="E433">
        <v>155000</v>
      </c>
      <c r="F433" t="s">
        <v>16</v>
      </c>
      <c r="G433">
        <v>155000</v>
      </c>
      <c r="H433" t="s">
        <v>17</v>
      </c>
      <c r="I433">
        <v>0</v>
      </c>
      <c r="J433" t="s">
        <v>17</v>
      </c>
      <c r="K433" t="s">
        <v>18</v>
      </c>
      <c r="L433" s="3">
        <f t="shared" si="12"/>
        <v>48234.629055007055</v>
      </c>
      <c r="M433" s="3">
        <f t="shared" si="13"/>
        <v>2326579440.074131</v>
      </c>
    </row>
    <row r="434" spans="1:13" customFormat="1">
      <c r="A434">
        <v>2022</v>
      </c>
      <c r="B434" t="s">
        <v>19</v>
      </c>
      <c r="C434" t="s">
        <v>14</v>
      </c>
      <c r="D434" t="s">
        <v>36</v>
      </c>
      <c r="E434">
        <v>140000</v>
      </c>
      <c r="F434" t="s">
        <v>16</v>
      </c>
      <c r="G434">
        <v>140000</v>
      </c>
      <c r="H434" t="s">
        <v>17</v>
      </c>
      <c r="I434">
        <v>0</v>
      </c>
      <c r="J434" t="s">
        <v>17</v>
      </c>
      <c r="K434" t="s">
        <v>18</v>
      </c>
      <c r="L434" s="3">
        <f t="shared" si="12"/>
        <v>33234.629055007055</v>
      </c>
      <c r="M434" s="3">
        <f t="shared" si="13"/>
        <v>1104540568.4239192</v>
      </c>
    </row>
    <row r="435" spans="1:13" customFormat="1">
      <c r="A435">
        <v>2022</v>
      </c>
      <c r="B435" t="s">
        <v>19</v>
      </c>
      <c r="C435" t="s">
        <v>14</v>
      </c>
      <c r="D435" t="s">
        <v>60</v>
      </c>
      <c r="E435">
        <v>100000</v>
      </c>
      <c r="F435" t="s">
        <v>49</v>
      </c>
      <c r="G435">
        <v>105066</v>
      </c>
      <c r="H435" t="s">
        <v>77</v>
      </c>
      <c r="I435">
        <v>50</v>
      </c>
      <c r="J435" t="s">
        <v>77</v>
      </c>
      <c r="K435" t="s">
        <v>18</v>
      </c>
      <c r="L435" s="3">
        <f t="shared" si="12"/>
        <v>-1699.3709449929447</v>
      </c>
      <c r="M435" s="3">
        <f t="shared" si="13"/>
        <v>2887861.6086862138</v>
      </c>
    </row>
    <row r="436" spans="1:13" customFormat="1">
      <c r="A436">
        <v>2022</v>
      </c>
      <c r="B436" t="s">
        <v>13</v>
      </c>
      <c r="C436" t="s">
        <v>14</v>
      </c>
      <c r="D436" t="s">
        <v>15</v>
      </c>
      <c r="E436">
        <v>130000</v>
      </c>
      <c r="F436" t="s">
        <v>16</v>
      </c>
      <c r="G436">
        <v>130000</v>
      </c>
      <c r="H436" t="s">
        <v>17</v>
      </c>
      <c r="I436">
        <v>0</v>
      </c>
      <c r="J436" t="s">
        <v>17</v>
      </c>
      <c r="K436" t="s">
        <v>18</v>
      </c>
      <c r="L436" s="3">
        <f t="shared" si="12"/>
        <v>23234.629055007055</v>
      </c>
      <c r="M436" s="3">
        <f t="shared" si="13"/>
        <v>539847987.32377803</v>
      </c>
    </row>
    <row r="437" spans="1:13" customFormat="1">
      <c r="A437">
        <v>2022</v>
      </c>
      <c r="B437" t="s">
        <v>13</v>
      </c>
      <c r="C437" t="s">
        <v>14</v>
      </c>
      <c r="D437" t="s">
        <v>15</v>
      </c>
      <c r="E437">
        <v>100000</v>
      </c>
      <c r="F437" t="s">
        <v>16</v>
      </c>
      <c r="G437">
        <v>100000</v>
      </c>
      <c r="H437" t="s">
        <v>17</v>
      </c>
      <c r="I437">
        <v>0</v>
      </c>
      <c r="J437" t="s">
        <v>17</v>
      </c>
      <c r="K437" t="s">
        <v>18</v>
      </c>
      <c r="L437" s="3">
        <f t="shared" si="12"/>
        <v>-6765.3709449929447</v>
      </c>
      <c r="M437" s="3">
        <f t="shared" si="13"/>
        <v>45770244.023354732</v>
      </c>
    </row>
    <row r="438" spans="1:13" customFormat="1">
      <c r="A438">
        <v>2022</v>
      </c>
      <c r="B438" t="s">
        <v>19</v>
      </c>
      <c r="C438" t="s">
        <v>14</v>
      </c>
      <c r="D438" t="s">
        <v>15</v>
      </c>
      <c r="E438">
        <v>165000</v>
      </c>
      <c r="F438" t="s">
        <v>16</v>
      </c>
      <c r="G438">
        <v>165000</v>
      </c>
      <c r="H438" t="s">
        <v>17</v>
      </c>
      <c r="I438">
        <v>0</v>
      </c>
      <c r="J438" t="s">
        <v>17</v>
      </c>
      <c r="K438" t="s">
        <v>18</v>
      </c>
      <c r="L438" s="3">
        <f t="shared" si="12"/>
        <v>58234.629055007055</v>
      </c>
      <c r="M438" s="3">
        <f t="shared" si="13"/>
        <v>3391272021.1742721</v>
      </c>
    </row>
    <row r="439" spans="1:13" customFormat="1">
      <c r="A439">
        <v>2022</v>
      </c>
      <c r="B439" t="s">
        <v>19</v>
      </c>
      <c r="C439" t="s">
        <v>14</v>
      </c>
      <c r="D439" t="s">
        <v>15</v>
      </c>
      <c r="E439">
        <v>124000</v>
      </c>
      <c r="F439" t="s">
        <v>16</v>
      </c>
      <c r="G439">
        <v>124000</v>
      </c>
      <c r="H439" t="s">
        <v>17</v>
      </c>
      <c r="I439">
        <v>0</v>
      </c>
      <c r="J439" t="s">
        <v>17</v>
      </c>
      <c r="K439" t="s">
        <v>18</v>
      </c>
      <c r="L439" s="3">
        <f t="shared" si="12"/>
        <v>17234.629055007055</v>
      </c>
      <c r="M439" s="3">
        <f t="shared" si="13"/>
        <v>297032438.66369337</v>
      </c>
    </row>
    <row r="440" spans="1:13" customFormat="1">
      <c r="A440">
        <v>2022</v>
      </c>
      <c r="B440" t="s">
        <v>19</v>
      </c>
      <c r="C440" t="s">
        <v>14</v>
      </c>
      <c r="D440" t="s">
        <v>15</v>
      </c>
      <c r="E440">
        <v>150000</v>
      </c>
      <c r="F440" t="s">
        <v>16</v>
      </c>
      <c r="G440">
        <v>150000</v>
      </c>
      <c r="H440" t="s">
        <v>17</v>
      </c>
      <c r="I440">
        <v>0</v>
      </c>
      <c r="J440" t="s">
        <v>17</v>
      </c>
      <c r="K440" t="s">
        <v>18</v>
      </c>
      <c r="L440" s="3">
        <f t="shared" si="12"/>
        <v>43234.629055007055</v>
      </c>
      <c r="M440" s="3">
        <f t="shared" si="13"/>
        <v>1869233149.5240602</v>
      </c>
    </row>
    <row r="441" spans="1:13" customFormat="1">
      <c r="A441">
        <v>2022</v>
      </c>
      <c r="B441" t="s">
        <v>19</v>
      </c>
      <c r="C441" t="s">
        <v>14</v>
      </c>
      <c r="D441" t="s">
        <v>15</v>
      </c>
      <c r="E441">
        <v>100000</v>
      </c>
      <c r="F441" t="s">
        <v>16</v>
      </c>
      <c r="G441">
        <v>100000</v>
      </c>
      <c r="H441" t="s">
        <v>17</v>
      </c>
      <c r="I441">
        <v>0</v>
      </c>
      <c r="J441" t="s">
        <v>17</v>
      </c>
      <c r="K441" t="s">
        <v>18</v>
      </c>
      <c r="L441" s="3">
        <f t="shared" si="12"/>
        <v>-6765.3709449929447</v>
      </c>
      <c r="M441" s="3">
        <f t="shared" si="13"/>
        <v>45770244.023354732</v>
      </c>
    </row>
    <row r="442" spans="1:13" customFormat="1">
      <c r="A442">
        <v>2022</v>
      </c>
      <c r="B442" t="s">
        <v>19</v>
      </c>
      <c r="C442" t="s">
        <v>14</v>
      </c>
      <c r="D442" t="s">
        <v>15</v>
      </c>
      <c r="E442">
        <v>100000</v>
      </c>
      <c r="F442" t="s">
        <v>16</v>
      </c>
      <c r="G442">
        <v>100000</v>
      </c>
      <c r="H442" t="s">
        <v>46</v>
      </c>
      <c r="I442">
        <v>0</v>
      </c>
      <c r="J442" t="s">
        <v>46</v>
      </c>
      <c r="K442" t="s">
        <v>18</v>
      </c>
      <c r="L442" s="3">
        <f t="shared" si="12"/>
        <v>-6765.3709449929447</v>
      </c>
      <c r="M442" s="3">
        <f t="shared" si="13"/>
        <v>45770244.023354732</v>
      </c>
    </row>
    <row r="443" spans="1:13" customFormat="1">
      <c r="A443">
        <v>2022</v>
      </c>
      <c r="B443" t="s">
        <v>19</v>
      </c>
      <c r="C443" t="s">
        <v>14</v>
      </c>
      <c r="D443" t="s">
        <v>15</v>
      </c>
      <c r="E443">
        <v>65000</v>
      </c>
      <c r="F443" t="s">
        <v>16</v>
      </c>
      <c r="G443">
        <v>65000</v>
      </c>
      <c r="H443" t="s">
        <v>46</v>
      </c>
      <c r="I443">
        <v>0</v>
      </c>
      <c r="J443" t="s">
        <v>46</v>
      </c>
      <c r="K443" t="s">
        <v>18</v>
      </c>
      <c r="L443" s="3">
        <f t="shared" si="12"/>
        <v>-41765.370944992945</v>
      </c>
      <c r="M443" s="3">
        <f t="shared" si="13"/>
        <v>1744346210.1728609</v>
      </c>
    </row>
    <row r="444" spans="1:13" customFormat="1">
      <c r="A444">
        <v>2022</v>
      </c>
      <c r="B444" t="s">
        <v>13</v>
      </c>
      <c r="C444" t="s">
        <v>14</v>
      </c>
      <c r="D444" t="s">
        <v>15</v>
      </c>
      <c r="E444">
        <v>177000</v>
      </c>
      <c r="F444" t="s">
        <v>16</v>
      </c>
      <c r="G444">
        <v>177000</v>
      </c>
      <c r="H444" t="s">
        <v>17</v>
      </c>
      <c r="I444">
        <v>0</v>
      </c>
      <c r="J444" t="s">
        <v>17</v>
      </c>
      <c r="K444" t="s">
        <v>18</v>
      </c>
      <c r="L444" s="3">
        <f t="shared" si="12"/>
        <v>70234.629055007055</v>
      </c>
      <c r="M444" s="3">
        <f t="shared" si="13"/>
        <v>4932903118.494441</v>
      </c>
    </row>
    <row r="445" spans="1:13" customFormat="1">
      <c r="A445">
        <v>2022</v>
      </c>
      <c r="B445" t="s">
        <v>13</v>
      </c>
      <c r="C445" t="s">
        <v>14</v>
      </c>
      <c r="D445" t="s">
        <v>15</v>
      </c>
      <c r="E445">
        <v>131000</v>
      </c>
      <c r="F445" t="s">
        <v>16</v>
      </c>
      <c r="G445">
        <v>131000</v>
      </c>
      <c r="H445" t="s">
        <v>17</v>
      </c>
      <c r="I445">
        <v>0</v>
      </c>
      <c r="J445" t="s">
        <v>17</v>
      </c>
      <c r="K445" t="s">
        <v>18</v>
      </c>
      <c r="L445" s="3">
        <f t="shared" si="12"/>
        <v>24234.629055007055</v>
      </c>
      <c r="M445" s="3">
        <f t="shared" si="13"/>
        <v>587317245.43379211</v>
      </c>
    </row>
    <row r="446" spans="1:13" customFormat="1">
      <c r="A446">
        <v>2022</v>
      </c>
      <c r="B446" t="s">
        <v>13</v>
      </c>
      <c r="C446" t="s">
        <v>14</v>
      </c>
      <c r="D446" t="s">
        <v>15</v>
      </c>
      <c r="E446">
        <v>169000</v>
      </c>
      <c r="F446" t="s">
        <v>16</v>
      </c>
      <c r="G446">
        <v>169000</v>
      </c>
      <c r="H446" t="s">
        <v>17</v>
      </c>
      <c r="I446">
        <v>0</v>
      </c>
      <c r="J446" t="s">
        <v>17</v>
      </c>
      <c r="K446" t="s">
        <v>18</v>
      </c>
      <c r="L446" s="3">
        <f t="shared" si="12"/>
        <v>62234.629055007055</v>
      </c>
      <c r="M446" s="3">
        <f t="shared" si="13"/>
        <v>3873149053.6143284</v>
      </c>
    </row>
    <row r="447" spans="1:13" customFormat="1">
      <c r="A447">
        <v>2022</v>
      </c>
      <c r="B447" t="s">
        <v>13</v>
      </c>
      <c r="C447" t="s">
        <v>14</v>
      </c>
      <c r="D447" t="s">
        <v>15</v>
      </c>
      <c r="E447">
        <v>110600</v>
      </c>
      <c r="F447" t="s">
        <v>16</v>
      </c>
      <c r="G447">
        <v>110600</v>
      </c>
      <c r="H447" t="s">
        <v>17</v>
      </c>
      <c r="I447">
        <v>0</v>
      </c>
      <c r="J447" t="s">
        <v>17</v>
      </c>
      <c r="K447" t="s">
        <v>18</v>
      </c>
      <c r="L447" s="3">
        <f t="shared" si="12"/>
        <v>3834.6290550070553</v>
      </c>
      <c r="M447" s="3">
        <f t="shared" si="13"/>
        <v>14704379.989504302</v>
      </c>
    </row>
    <row r="448" spans="1:13" customFormat="1">
      <c r="A448">
        <v>2022</v>
      </c>
      <c r="B448" t="s">
        <v>19</v>
      </c>
      <c r="C448" t="s">
        <v>14</v>
      </c>
      <c r="D448" t="s">
        <v>15</v>
      </c>
      <c r="E448">
        <v>150000</v>
      </c>
      <c r="F448" t="s">
        <v>16</v>
      </c>
      <c r="G448">
        <v>150000</v>
      </c>
      <c r="H448" t="s">
        <v>17</v>
      </c>
      <c r="I448">
        <v>0</v>
      </c>
      <c r="J448" t="s">
        <v>17</v>
      </c>
      <c r="K448" t="s">
        <v>18</v>
      </c>
      <c r="L448" s="3">
        <f t="shared" si="12"/>
        <v>43234.629055007055</v>
      </c>
      <c r="M448" s="3">
        <f t="shared" si="13"/>
        <v>1869233149.5240602</v>
      </c>
    </row>
    <row r="449" spans="1:13" customFormat="1">
      <c r="A449">
        <v>2022</v>
      </c>
      <c r="B449" t="s">
        <v>19</v>
      </c>
      <c r="C449" t="s">
        <v>14</v>
      </c>
      <c r="D449" t="s">
        <v>15</v>
      </c>
      <c r="E449">
        <v>100000</v>
      </c>
      <c r="F449" t="s">
        <v>16</v>
      </c>
      <c r="G449">
        <v>100000</v>
      </c>
      <c r="H449" t="s">
        <v>17</v>
      </c>
      <c r="I449">
        <v>0</v>
      </c>
      <c r="J449" t="s">
        <v>17</v>
      </c>
      <c r="K449" t="s">
        <v>18</v>
      </c>
      <c r="L449" s="3">
        <f t="shared" si="12"/>
        <v>-6765.3709449929447</v>
      </c>
      <c r="M449" s="3">
        <f t="shared" si="13"/>
        <v>45770244.023354732</v>
      </c>
    </row>
    <row r="450" spans="1:13" customFormat="1">
      <c r="A450">
        <v>2022</v>
      </c>
      <c r="B450" t="s">
        <v>13</v>
      </c>
      <c r="C450" t="s">
        <v>14</v>
      </c>
      <c r="D450" t="s">
        <v>15</v>
      </c>
      <c r="E450">
        <v>110000</v>
      </c>
      <c r="F450" t="s">
        <v>16</v>
      </c>
      <c r="G450">
        <v>110000</v>
      </c>
      <c r="H450" t="s">
        <v>17</v>
      </c>
      <c r="I450">
        <v>0</v>
      </c>
      <c r="J450" t="s">
        <v>17</v>
      </c>
      <c r="K450" t="s">
        <v>18</v>
      </c>
      <c r="L450" s="3">
        <f t="shared" si="12"/>
        <v>3234.6290550070553</v>
      </c>
      <c r="M450" s="3">
        <f t="shared" si="13"/>
        <v>10462825.123495836</v>
      </c>
    </row>
    <row r="451" spans="1:13" customFormat="1">
      <c r="A451">
        <v>2022</v>
      </c>
      <c r="B451" t="s">
        <v>13</v>
      </c>
      <c r="C451" t="s">
        <v>14</v>
      </c>
      <c r="D451" t="s">
        <v>15</v>
      </c>
      <c r="E451">
        <v>95000</v>
      </c>
      <c r="F451" t="s">
        <v>16</v>
      </c>
      <c r="G451">
        <v>95000</v>
      </c>
      <c r="H451" t="s">
        <v>17</v>
      </c>
      <c r="I451">
        <v>0</v>
      </c>
      <c r="J451" t="s">
        <v>17</v>
      </c>
      <c r="K451" t="s">
        <v>18</v>
      </c>
      <c r="L451" s="3">
        <f t="shared" ref="L451:L514" si="14">G451-$P$5</f>
        <v>-11765.370944992945</v>
      </c>
      <c r="M451" s="3">
        <f t="shared" ref="M451:M514" si="15">L451^2</f>
        <v>138423953.47328418</v>
      </c>
    </row>
    <row r="452" spans="1:13" customFormat="1">
      <c r="A452">
        <v>2022</v>
      </c>
      <c r="B452" t="s">
        <v>13</v>
      </c>
      <c r="C452" t="s">
        <v>14</v>
      </c>
      <c r="D452" t="s">
        <v>15</v>
      </c>
      <c r="E452">
        <v>169000</v>
      </c>
      <c r="F452" t="s">
        <v>16</v>
      </c>
      <c r="G452">
        <v>169000</v>
      </c>
      <c r="H452" t="s">
        <v>17</v>
      </c>
      <c r="I452">
        <v>0</v>
      </c>
      <c r="J452" t="s">
        <v>17</v>
      </c>
      <c r="K452" t="s">
        <v>18</v>
      </c>
      <c r="L452" s="3">
        <f t="shared" si="14"/>
        <v>62234.629055007055</v>
      </c>
      <c r="M452" s="3">
        <f t="shared" si="15"/>
        <v>3873149053.6143284</v>
      </c>
    </row>
    <row r="453" spans="1:13" customFormat="1">
      <c r="A453">
        <v>2022</v>
      </c>
      <c r="B453" t="s">
        <v>13</v>
      </c>
      <c r="C453" t="s">
        <v>14</v>
      </c>
      <c r="D453" t="s">
        <v>15</v>
      </c>
      <c r="E453">
        <v>110600</v>
      </c>
      <c r="F453" t="s">
        <v>16</v>
      </c>
      <c r="G453">
        <v>110600</v>
      </c>
      <c r="H453" t="s">
        <v>17</v>
      </c>
      <c r="I453">
        <v>0</v>
      </c>
      <c r="J453" t="s">
        <v>17</v>
      </c>
      <c r="K453" t="s">
        <v>18</v>
      </c>
      <c r="L453" s="3">
        <f t="shared" si="14"/>
        <v>3834.6290550070553</v>
      </c>
      <c r="M453" s="3">
        <f t="shared" si="15"/>
        <v>14704379.989504302</v>
      </c>
    </row>
    <row r="454" spans="1:13" customFormat="1">
      <c r="A454">
        <v>2022</v>
      </c>
      <c r="B454" t="s">
        <v>13</v>
      </c>
      <c r="C454" t="s">
        <v>14</v>
      </c>
      <c r="D454" t="s">
        <v>15</v>
      </c>
      <c r="E454">
        <v>115934</v>
      </c>
      <c r="F454" t="s">
        <v>16</v>
      </c>
      <c r="G454">
        <v>115934</v>
      </c>
      <c r="H454" t="s">
        <v>17</v>
      </c>
      <c r="I454">
        <v>100</v>
      </c>
      <c r="J454" t="s">
        <v>17</v>
      </c>
      <c r="K454" t="s">
        <v>18</v>
      </c>
      <c r="L454" s="3">
        <f t="shared" si="14"/>
        <v>9168.6290550070553</v>
      </c>
      <c r="M454" s="3">
        <f t="shared" si="15"/>
        <v>84063758.748319566</v>
      </c>
    </row>
    <row r="455" spans="1:13" customFormat="1">
      <c r="A455">
        <v>2022</v>
      </c>
      <c r="B455" t="s">
        <v>13</v>
      </c>
      <c r="C455" t="s">
        <v>14</v>
      </c>
      <c r="D455" t="s">
        <v>15</v>
      </c>
      <c r="E455">
        <v>81666</v>
      </c>
      <c r="F455" t="s">
        <v>16</v>
      </c>
      <c r="G455">
        <v>81666</v>
      </c>
      <c r="H455" t="s">
        <v>17</v>
      </c>
      <c r="I455">
        <v>100</v>
      </c>
      <c r="J455" t="s">
        <v>17</v>
      </c>
      <c r="K455" t="s">
        <v>18</v>
      </c>
      <c r="L455" s="3">
        <f t="shared" si="14"/>
        <v>-25099.370944992945</v>
      </c>
      <c r="M455" s="3">
        <f t="shared" si="15"/>
        <v>629978421.83435607</v>
      </c>
    </row>
    <row r="456" spans="1:13" customFormat="1">
      <c r="A456">
        <v>2022</v>
      </c>
      <c r="B456" t="s">
        <v>28</v>
      </c>
      <c r="C456" t="s">
        <v>56</v>
      </c>
      <c r="D456" t="s">
        <v>54</v>
      </c>
      <c r="E456">
        <v>12000</v>
      </c>
      <c r="F456" t="s">
        <v>16</v>
      </c>
      <c r="G456">
        <v>12000</v>
      </c>
      <c r="H456" t="s">
        <v>78</v>
      </c>
      <c r="I456">
        <v>100</v>
      </c>
      <c r="J456" t="s">
        <v>17</v>
      </c>
      <c r="K456" t="s">
        <v>31</v>
      </c>
      <c r="L456" s="3">
        <f t="shared" si="14"/>
        <v>-94765.370944992945</v>
      </c>
      <c r="M456" s="3">
        <f t="shared" si="15"/>
        <v>8980475530.3421135</v>
      </c>
    </row>
    <row r="457" spans="1:13" customFormat="1">
      <c r="A457">
        <v>2022</v>
      </c>
      <c r="B457" t="s">
        <v>13</v>
      </c>
      <c r="C457" t="s">
        <v>14</v>
      </c>
      <c r="D457" t="s">
        <v>15</v>
      </c>
      <c r="E457">
        <v>154560</v>
      </c>
      <c r="F457" t="s">
        <v>16</v>
      </c>
      <c r="G457">
        <v>154560</v>
      </c>
      <c r="H457" t="s">
        <v>17</v>
      </c>
      <c r="I457">
        <v>0</v>
      </c>
      <c r="J457" t="s">
        <v>17</v>
      </c>
      <c r="K457" t="s">
        <v>18</v>
      </c>
      <c r="L457" s="3">
        <f t="shared" si="14"/>
        <v>47794.629055007055</v>
      </c>
      <c r="M457" s="3">
        <f t="shared" si="15"/>
        <v>2284326566.5057244</v>
      </c>
    </row>
    <row r="458" spans="1:13" customFormat="1">
      <c r="A458">
        <v>2022</v>
      </c>
      <c r="B458" t="s">
        <v>13</v>
      </c>
      <c r="C458" t="s">
        <v>14</v>
      </c>
      <c r="D458" t="s">
        <v>15</v>
      </c>
      <c r="E458">
        <v>123648</v>
      </c>
      <c r="F458" t="s">
        <v>16</v>
      </c>
      <c r="G458">
        <v>123648</v>
      </c>
      <c r="H458" t="s">
        <v>17</v>
      </c>
      <c r="I458">
        <v>0</v>
      </c>
      <c r="J458" t="s">
        <v>17</v>
      </c>
      <c r="K458" t="s">
        <v>18</v>
      </c>
      <c r="L458" s="3">
        <f t="shared" si="14"/>
        <v>16882.629055007055</v>
      </c>
      <c r="M458" s="3">
        <f t="shared" si="15"/>
        <v>285023163.80896842</v>
      </c>
    </row>
    <row r="459" spans="1:13" customFormat="1">
      <c r="A459">
        <v>2022</v>
      </c>
      <c r="B459" t="s">
        <v>13</v>
      </c>
      <c r="C459" t="s">
        <v>14</v>
      </c>
      <c r="D459" t="s">
        <v>15</v>
      </c>
      <c r="E459">
        <v>130000</v>
      </c>
      <c r="F459" t="s">
        <v>16</v>
      </c>
      <c r="G459">
        <v>130000</v>
      </c>
      <c r="H459" t="s">
        <v>17</v>
      </c>
      <c r="I459">
        <v>0</v>
      </c>
      <c r="J459" t="s">
        <v>17</v>
      </c>
      <c r="K459" t="s">
        <v>18</v>
      </c>
      <c r="L459" s="3">
        <f t="shared" si="14"/>
        <v>23234.629055007055</v>
      </c>
      <c r="M459" s="3">
        <f t="shared" si="15"/>
        <v>539847987.32377803</v>
      </c>
    </row>
    <row r="460" spans="1:13" customFormat="1">
      <c r="A460">
        <v>2022</v>
      </c>
      <c r="B460" t="s">
        <v>13</v>
      </c>
      <c r="C460" t="s">
        <v>14</v>
      </c>
      <c r="D460" t="s">
        <v>15</v>
      </c>
      <c r="E460">
        <v>100000</v>
      </c>
      <c r="F460" t="s">
        <v>16</v>
      </c>
      <c r="G460">
        <v>100000</v>
      </c>
      <c r="H460" t="s">
        <v>17</v>
      </c>
      <c r="I460">
        <v>0</v>
      </c>
      <c r="J460" t="s">
        <v>17</v>
      </c>
      <c r="K460" t="s">
        <v>18</v>
      </c>
      <c r="L460" s="3">
        <f t="shared" si="14"/>
        <v>-6765.3709449929447</v>
      </c>
      <c r="M460" s="3">
        <f t="shared" si="15"/>
        <v>45770244.023354732</v>
      </c>
    </row>
    <row r="461" spans="1:13" customFormat="1">
      <c r="A461">
        <v>2022</v>
      </c>
      <c r="B461" t="s">
        <v>13</v>
      </c>
      <c r="C461" t="s">
        <v>14</v>
      </c>
      <c r="D461" t="s">
        <v>15</v>
      </c>
      <c r="E461">
        <v>130000</v>
      </c>
      <c r="F461" t="s">
        <v>16</v>
      </c>
      <c r="G461">
        <v>130000</v>
      </c>
      <c r="H461" t="s">
        <v>17</v>
      </c>
      <c r="I461">
        <v>0</v>
      </c>
      <c r="J461" t="s">
        <v>17</v>
      </c>
      <c r="K461" t="s">
        <v>18</v>
      </c>
      <c r="L461" s="3">
        <f t="shared" si="14"/>
        <v>23234.629055007055</v>
      </c>
      <c r="M461" s="3">
        <f t="shared" si="15"/>
        <v>539847987.32377803</v>
      </c>
    </row>
    <row r="462" spans="1:13" customFormat="1">
      <c r="A462">
        <v>2022</v>
      </c>
      <c r="B462" t="s">
        <v>13</v>
      </c>
      <c r="C462" t="s">
        <v>14</v>
      </c>
      <c r="D462" t="s">
        <v>15</v>
      </c>
      <c r="E462">
        <v>105000</v>
      </c>
      <c r="F462" t="s">
        <v>16</v>
      </c>
      <c r="G462">
        <v>105000</v>
      </c>
      <c r="H462" t="s">
        <v>17</v>
      </c>
      <c r="I462">
        <v>0</v>
      </c>
      <c r="J462" t="s">
        <v>17</v>
      </c>
      <c r="K462" t="s">
        <v>18</v>
      </c>
      <c r="L462" s="3">
        <f t="shared" si="14"/>
        <v>-1765.3709449929447</v>
      </c>
      <c r="M462" s="3">
        <f t="shared" si="15"/>
        <v>3116534.5734252827</v>
      </c>
    </row>
    <row r="463" spans="1:13" customFormat="1">
      <c r="A463">
        <v>2022</v>
      </c>
      <c r="B463" t="s">
        <v>19</v>
      </c>
      <c r="C463" t="s">
        <v>14</v>
      </c>
      <c r="D463" t="s">
        <v>15</v>
      </c>
      <c r="E463">
        <v>206000</v>
      </c>
      <c r="F463" t="s">
        <v>16</v>
      </c>
      <c r="G463">
        <v>206000</v>
      </c>
      <c r="H463" t="s">
        <v>17</v>
      </c>
      <c r="I463">
        <v>0</v>
      </c>
      <c r="J463" t="s">
        <v>17</v>
      </c>
      <c r="K463" t="s">
        <v>18</v>
      </c>
      <c r="L463" s="3">
        <f t="shared" si="14"/>
        <v>99234.629055007055</v>
      </c>
      <c r="M463" s="3">
        <f t="shared" si="15"/>
        <v>9847511603.6848507</v>
      </c>
    </row>
    <row r="464" spans="1:13" customFormat="1">
      <c r="A464">
        <v>2022</v>
      </c>
      <c r="B464" t="s">
        <v>19</v>
      </c>
      <c r="C464" t="s">
        <v>14</v>
      </c>
      <c r="D464" t="s">
        <v>15</v>
      </c>
      <c r="E464">
        <v>160000</v>
      </c>
      <c r="F464" t="s">
        <v>16</v>
      </c>
      <c r="G464">
        <v>160000</v>
      </c>
      <c r="H464" t="s">
        <v>17</v>
      </c>
      <c r="I464">
        <v>0</v>
      </c>
      <c r="J464" t="s">
        <v>17</v>
      </c>
      <c r="K464" t="s">
        <v>18</v>
      </c>
      <c r="L464" s="3">
        <f t="shared" si="14"/>
        <v>53234.629055007055</v>
      </c>
      <c r="M464" s="3">
        <f t="shared" si="15"/>
        <v>2833925730.6242013</v>
      </c>
    </row>
    <row r="465" spans="1:13" customFormat="1">
      <c r="A465">
        <v>2022</v>
      </c>
      <c r="B465" t="s">
        <v>19</v>
      </c>
      <c r="C465" t="s">
        <v>14</v>
      </c>
      <c r="D465" t="s">
        <v>15</v>
      </c>
      <c r="E465">
        <v>109000</v>
      </c>
      <c r="F465" t="s">
        <v>16</v>
      </c>
      <c r="G465">
        <v>109000</v>
      </c>
      <c r="H465" t="s">
        <v>17</v>
      </c>
      <c r="I465">
        <v>0</v>
      </c>
      <c r="J465" t="s">
        <v>17</v>
      </c>
      <c r="K465" t="s">
        <v>18</v>
      </c>
      <c r="L465" s="3">
        <f t="shared" si="14"/>
        <v>2234.6290550070553</v>
      </c>
      <c r="M465" s="3">
        <f t="shared" si="15"/>
        <v>4993567.013481725</v>
      </c>
    </row>
    <row r="466" spans="1:13" customFormat="1">
      <c r="A466">
        <v>2022</v>
      </c>
      <c r="B466" t="s">
        <v>19</v>
      </c>
      <c r="C466" t="s">
        <v>14</v>
      </c>
      <c r="D466" t="s">
        <v>15</v>
      </c>
      <c r="E466">
        <v>79000</v>
      </c>
      <c r="F466" t="s">
        <v>16</v>
      </c>
      <c r="G466">
        <v>79000</v>
      </c>
      <c r="H466" t="s">
        <v>17</v>
      </c>
      <c r="I466">
        <v>0</v>
      </c>
      <c r="J466" t="s">
        <v>17</v>
      </c>
      <c r="K466" t="s">
        <v>18</v>
      </c>
      <c r="L466" s="3">
        <f t="shared" si="14"/>
        <v>-27765.370944992945</v>
      </c>
      <c r="M466" s="3">
        <f t="shared" si="15"/>
        <v>770915823.71305835</v>
      </c>
    </row>
    <row r="467" spans="1:13" customFormat="1">
      <c r="A467">
        <v>2022</v>
      </c>
      <c r="B467" t="s">
        <v>19</v>
      </c>
      <c r="C467" t="s">
        <v>14</v>
      </c>
      <c r="D467" t="s">
        <v>15</v>
      </c>
      <c r="E467">
        <v>160000</v>
      </c>
      <c r="F467" t="s">
        <v>16</v>
      </c>
      <c r="G467">
        <v>160000</v>
      </c>
      <c r="H467" t="s">
        <v>17</v>
      </c>
      <c r="I467">
        <v>0</v>
      </c>
      <c r="J467" t="s">
        <v>17</v>
      </c>
      <c r="K467" t="s">
        <v>18</v>
      </c>
      <c r="L467" s="3">
        <f t="shared" si="14"/>
        <v>53234.629055007055</v>
      </c>
      <c r="M467" s="3">
        <f t="shared" si="15"/>
        <v>2833925730.6242013</v>
      </c>
    </row>
    <row r="468" spans="1:13" customFormat="1">
      <c r="A468">
        <v>2022</v>
      </c>
      <c r="B468" t="s">
        <v>19</v>
      </c>
      <c r="C468" t="s">
        <v>14</v>
      </c>
      <c r="D468" t="s">
        <v>15</v>
      </c>
      <c r="E468">
        <v>109000</v>
      </c>
      <c r="F468" t="s">
        <v>16</v>
      </c>
      <c r="G468">
        <v>109000</v>
      </c>
      <c r="H468" t="s">
        <v>17</v>
      </c>
      <c r="I468">
        <v>0</v>
      </c>
      <c r="J468" t="s">
        <v>17</v>
      </c>
      <c r="K468" t="s">
        <v>18</v>
      </c>
      <c r="L468" s="3">
        <f t="shared" si="14"/>
        <v>2234.6290550070553</v>
      </c>
      <c r="M468" s="3">
        <f t="shared" si="15"/>
        <v>4993567.013481725</v>
      </c>
    </row>
    <row r="469" spans="1:13" customFormat="1">
      <c r="A469">
        <v>2022</v>
      </c>
      <c r="B469" t="s">
        <v>13</v>
      </c>
      <c r="C469" t="s">
        <v>14</v>
      </c>
      <c r="D469" t="s">
        <v>15</v>
      </c>
      <c r="E469">
        <v>127000</v>
      </c>
      <c r="F469" t="s">
        <v>16</v>
      </c>
      <c r="G469">
        <v>127000</v>
      </c>
      <c r="H469" t="s">
        <v>17</v>
      </c>
      <c r="I469">
        <v>100</v>
      </c>
      <c r="J469" t="s">
        <v>17</v>
      </c>
      <c r="K469" t="s">
        <v>18</v>
      </c>
      <c r="L469" s="3">
        <f t="shared" si="14"/>
        <v>20234.629055007055</v>
      </c>
      <c r="M469" s="3">
        <f t="shared" si="15"/>
        <v>409440212.99373573</v>
      </c>
    </row>
    <row r="470" spans="1:13" customFormat="1">
      <c r="A470">
        <v>2022</v>
      </c>
      <c r="B470" t="s">
        <v>13</v>
      </c>
      <c r="C470" t="s">
        <v>14</v>
      </c>
      <c r="D470" t="s">
        <v>15</v>
      </c>
      <c r="E470">
        <v>110000</v>
      </c>
      <c r="F470" t="s">
        <v>16</v>
      </c>
      <c r="G470">
        <v>110000</v>
      </c>
      <c r="H470" t="s">
        <v>17</v>
      </c>
      <c r="I470">
        <v>100</v>
      </c>
      <c r="J470" t="s">
        <v>17</v>
      </c>
      <c r="K470" t="s">
        <v>18</v>
      </c>
      <c r="L470" s="3">
        <f t="shared" si="14"/>
        <v>3234.6290550070553</v>
      </c>
      <c r="M470" s="3">
        <f t="shared" si="15"/>
        <v>10462825.123495836</v>
      </c>
    </row>
    <row r="471" spans="1:13" customFormat="1">
      <c r="A471">
        <v>2022</v>
      </c>
      <c r="B471" t="s">
        <v>13</v>
      </c>
      <c r="C471" t="s">
        <v>14</v>
      </c>
      <c r="D471" t="s">
        <v>15</v>
      </c>
      <c r="E471">
        <v>169000</v>
      </c>
      <c r="F471" t="s">
        <v>16</v>
      </c>
      <c r="G471">
        <v>169000</v>
      </c>
      <c r="H471" t="s">
        <v>17</v>
      </c>
      <c r="I471">
        <v>0</v>
      </c>
      <c r="J471" t="s">
        <v>17</v>
      </c>
      <c r="K471" t="s">
        <v>18</v>
      </c>
      <c r="L471" s="3">
        <f t="shared" si="14"/>
        <v>62234.629055007055</v>
      </c>
      <c r="M471" s="3">
        <f t="shared" si="15"/>
        <v>3873149053.6143284</v>
      </c>
    </row>
    <row r="472" spans="1:13" customFormat="1">
      <c r="A472">
        <v>2022</v>
      </c>
      <c r="B472" t="s">
        <v>13</v>
      </c>
      <c r="C472" t="s">
        <v>14</v>
      </c>
      <c r="D472" t="s">
        <v>15</v>
      </c>
      <c r="E472">
        <v>110600</v>
      </c>
      <c r="F472" t="s">
        <v>16</v>
      </c>
      <c r="G472">
        <v>110600</v>
      </c>
      <c r="H472" t="s">
        <v>17</v>
      </c>
      <c r="I472">
        <v>0</v>
      </c>
      <c r="J472" t="s">
        <v>17</v>
      </c>
      <c r="K472" t="s">
        <v>18</v>
      </c>
      <c r="L472" s="3">
        <f t="shared" si="14"/>
        <v>3834.6290550070553</v>
      </c>
      <c r="M472" s="3">
        <f t="shared" si="15"/>
        <v>14704379.989504302</v>
      </c>
    </row>
    <row r="473" spans="1:13" customFormat="1">
      <c r="A473">
        <v>2022</v>
      </c>
      <c r="B473" t="s">
        <v>19</v>
      </c>
      <c r="C473" t="s">
        <v>14</v>
      </c>
      <c r="D473" t="s">
        <v>15</v>
      </c>
      <c r="E473">
        <v>150000</v>
      </c>
      <c r="F473" t="s">
        <v>16</v>
      </c>
      <c r="G473">
        <v>150000</v>
      </c>
      <c r="H473" t="s">
        <v>17</v>
      </c>
      <c r="I473">
        <v>100</v>
      </c>
      <c r="J473" t="s">
        <v>17</v>
      </c>
      <c r="K473" t="s">
        <v>18</v>
      </c>
      <c r="L473" s="3">
        <f t="shared" si="14"/>
        <v>43234.629055007055</v>
      </c>
      <c r="M473" s="3">
        <f t="shared" si="15"/>
        <v>1869233149.5240602</v>
      </c>
    </row>
    <row r="474" spans="1:13" customFormat="1">
      <c r="A474">
        <v>2022</v>
      </c>
      <c r="B474" t="s">
        <v>19</v>
      </c>
      <c r="C474" t="s">
        <v>14</v>
      </c>
      <c r="D474" t="s">
        <v>15</v>
      </c>
      <c r="E474">
        <v>100000</v>
      </c>
      <c r="F474" t="s">
        <v>16</v>
      </c>
      <c r="G474">
        <v>100000</v>
      </c>
      <c r="H474" t="s">
        <v>17</v>
      </c>
      <c r="I474">
        <v>100</v>
      </c>
      <c r="J474" t="s">
        <v>17</v>
      </c>
      <c r="K474" t="s">
        <v>18</v>
      </c>
      <c r="L474" s="3">
        <f t="shared" si="14"/>
        <v>-6765.3709449929447</v>
      </c>
      <c r="M474" s="3">
        <f t="shared" si="15"/>
        <v>45770244.023354732</v>
      </c>
    </row>
    <row r="475" spans="1:13" customFormat="1">
      <c r="A475">
        <v>2022</v>
      </c>
      <c r="B475" t="s">
        <v>13</v>
      </c>
      <c r="C475" t="s">
        <v>14</v>
      </c>
      <c r="D475" t="s">
        <v>15</v>
      </c>
      <c r="E475">
        <v>120000</v>
      </c>
      <c r="F475" t="s">
        <v>16</v>
      </c>
      <c r="G475">
        <v>120000</v>
      </c>
      <c r="H475" t="s">
        <v>17</v>
      </c>
      <c r="I475">
        <v>0</v>
      </c>
      <c r="J475" t="s">
        <v>17</v>
      </c>
      <c r="K475" t="s">
        <v>18</v>
      </c>
      <c r="L475" s="3">
        <f t="shared" si="14"/>
        <v>13234.629055007055</v>
      </c>
      <c r="M475" s="3">
        <f t="shared" si="15"/>
        <v>175155406.22363696</v>
      </c>
    </row>
    <row r="476" spans="1:13" customFormat="1">
      <c r="A476">
        <v>2022</v>
      </c>
      <c r="B476" t="s">
        <v>13</v>
      </c>
      <c r="C476" t="s">
        <v>14</v>
      </c>
      <c r="D476" t="s">
        <v>15</v>
      </c>
      <c r="E476">
        <v>95000</v>
      </c>
      <c r="F476" t="s">
        <v>16</v>
      </c>
      <c r="G476">
        <v>95000</v>
      </c>
      <c r="H476" t="s">
        <v>17</v>
      </c>
      <c r="I476">
        <v>0</v>
      </c>
      <c r="J476" t="s">
        <v>17</v>
      </c>
      <c r="K476" t="s">
        <v>18</v>
      </c>
      <c r="L476" s="3">
        <f t="shared" si="14"/>
        <v>-11765.370944992945</v>
      </c>
      <c r="M476" s="3">
        <f t="shared" si="15"/>
        <v>138423953.47328418</v>
      </c>
    </row>
    <row r="477" spans="1:13" customFormat="1">
      <c r="A477">
        <v>2022</v>
      </c>
      <c r="B477" t="s">
        <v>28</v>
      </c>
      <c r="C477" t="s">
        <v>14</v>
      </c>
      <c r="D477" t="s">
        <v>15</v>
      </c>
      <c r="E477">
        <v>64000</v>
      </c>
      <c r="F477" t="s">
        <v>16</v>
      </c>
      <c r="G477">
        <v>64000</v>
      </c>
      <c r="H477" t="s">
        <v>17</v>
      </c>
      <c r="I477">
        <v>100</v>
      </c>
      <c r="J477" t="s">
        <v>17</v>
      </c>
      <c r="K477" t="s">
        <v>31</v>
      </c>
      <c r="L477" s="3">
        <f t="shared" si="14"/>
        <v>-42765.370944992945</v>
      </c>
      <c r="M477" s="3">
        <f t="shared" si="15"/>
        <v>1828876952.0628467</v>
      </c>
    </row>
    <row r="478" spans="1:13" customFormat="1">
      <c r="A478">
        <v>2022</v>
      </c>
      <c r="B478" t="s">
        <v>13</v>
      </c>
      <c r="C478" t="s">
        <v>14</v>
      </c>
      <c r="D478" t="s">
        <v>15</v>
      </c>
      <c r="E478">
        <v>150000</v>
      </c>
      <c r="F478" t="s">
        <v>16</v>
      </c>
      <c r="G478">
        <v>150000</v>
      </c>
      <c r="H478" t="s">
        <v>17</v>
      </c>
      <c r="I478">
        <v>0</v>
      </c>
      <c r="J478" t="s">
        <v>17</v>
      </c>
      <c r="K478" t="s">
        <v>18</v>
      </c>
      <c r="L478" s="3">
        <f t="shared" si="14"/>
        <v>43234.629055007055</v>
      </c>
      <c r="M478" s="3">
        <f t="shared" si="15"/>
        <v>1869233149.5240602</v>
      </c>
    </row>
    <row r="479" spans="1:13" customFormat="1">
      <c r="A479">
        <v>2022</v>
      </c>
      <c r="B479" t="s">
        <v>13</v>
      </c>
      <c r="C479" t="s">
        <v>14</v>
      </c>
      <c r="D479" t="s">
        <v>15</v>
      </c>
      <c r="E479">
        <v>127000</v>
      </c>
      <c r="F479" t="s">
        <v>16</v>
      </c>
      <c r="G479">
        <v>127000</v>
      </c>
      <c r="H479" t="s">
        <v>17</v>
      </c>
      <c r="I479">
        <v>0</v>
      </c>
      <c r="J479" t="s">
        <v>17</v>
      </c>
      <c r="K479" t="s">
        <v>18</v>
      </c>
      <c r="L479" s="3">
        <f t="shared" si="14"/>
        <v>20234.629055007055</v>
      </c>
      <c r="M479" s="3">
        <f t="shared" si="15"/>
        <v>409440212.99373573</v>
      </c>
    </row>
    <row r="480" spans="1:13" customFormat="1">
      <c r="A480">
        <v>2022</v>
      </c>
      <c r="B480" t="s">
        <v>28</v>
      </c>
      <c r="C480" t="s">
        <v>14</v>
      </c>
      <c r="D480" t="s">
        <v>54</v>
      </c>
      <c r="E480">
        <v>76000</v>
      </c>
      <c r="F480" t="s">
        <v>16</v>
      </c>
      <c r="G480">
        <v>76000</v>
      </c>
      <c r="H480" t="s">
        <v>17</v>
      </c>
      <c r="I480">
        <v>50</v>
      </c>
      <c r="J480" t="s">
        <v>17</v>
      </c>
      <c r="K480" t="s">
        <v>31</v>
      </c>
      <c r="L480" s="3">
        <f t="shared" si="14"/>
        <v>-30765.370944992945</v>
      </c>
      <c r="M480" s="3">
        <f t="shared" si="15"/>
        <v>946508049.38301611</v>
      </c>
    </row>
    <row r="481" spans="1:13" customFormat="1">
      <c r="A481">
        <v>2022</v>
      </c>
      <c r="B481" t="s">
        <v>13</v>
      </c>
      <c r="C481" t="s">
        <v>14</v>
      </c>
      <c r="D481" t="s">
        <v>15</v>
      </c>
      <c r="E481">
        <v>166700</v>
      </c>
      <c r="F481" t="s">
        <v>16</v>
      </c>
      <c r="G481">
        <v>166700</v>
      </c>
      <c r="H481" t="s">
        <v>17</v>
      </c>
      <c r="I481">
        <v>0</v>
      </c>
      <c r="J481" t="s">
        <v>17</v>
      </c>
      <c r="K481" t="s">
        <v>18</v>
      </c>
      <c r="L481" s="3">
        <f t="shared" si="14"/>
        <v>59934.629055007055</v>
      </c>
      <c r="M481" s="3">
        <f t="shared" si="15"/>
        <v>3592159759.9612961</v>
      </c>
    </row>
    <row r="482" spans="1:13" customFormat="1">
      <c r="A482">
        <v>2022</v>
      </c>
      <c r="B482" t="s">
        <v>13</v>
      </c>
      <c r="C482" t="s">
        <v>14</v>
      </c>
      <c r="D482" t="s">
        <v>15</v>
      </c>
      <c r="E482">
        <v>119000</v>
      </c>
      <c r="F482" t="s">
        <v>16</v>
      </c>
      <c r="G482">
        <v>119000</v>
      </c>
      <c r="H482" t="s">
        <v>17</v>
      </c>
      <c r="I482">
        <v>0</v>
      </c>
      <c r="J482" t="s">
        <v>17</v>
      </c>
      <c r="K482" t="s">
        <v>18</v>
      </c>
      <c r="L482" s="3">
        <f t="shared" si="14"/>
        <v>12234.629055007055</v>
      </c>
      <c r="M482" s="3">
        <f t="shared" si="15"/>
        <v>149686148.11362284</v>
      </c>
    </row>
    <row r="483" spans="1:13" customFormat="1">
      <c r="A483">
        <v>2022</v>
      </c>
      <c r="B483" t="s">
        <v>13</v>
      </c>
      <c r="C483" t="s">
        <v>14</v>
      </c>
      <c r="D483" t="s">
        <v>15</v>
      </c>
      <c r="E483">
        <v>130000</v>
      </c>
      <c r="F483" t="s">
        <v>16</v>
      </c>
      <c r="G483">
        <v>130000</v>
      </c>
      <c r="H483" t="s">
        <v>17</v>
      </c>
      <c r="I483">
        <v>0</v>
      </c>
      <c r="J483" t="s">
        <v>17</v>
      </c>
      <c r="K483" t="s">
        <v>18</v>
      </c>
      <c r="L483" s="3">
        <f t="shared" si="14"/>
        <v>23234.629055007055</v>
      </c>
      <c r="M483" s="3">
        <f t="shared" si="15"/>
        <v>539847987.32377803</v>
      </c>
    </row>
    <row r="484" spans="1:13" customFormat="1">
      <c r="A484">
        <v>2022</v>
      </c>
      <c r="B484" t="s">
        <v>13</v>
      </c>
      <c r="C484" t="s">
        <v>14</v>
      </c>
      <c r="D484" t="s">
        <v>15</v>
      </c>
      <c r="E484">
        <v>100000</v>
      </c>
      <c r="F484" t="s">
        <v>16</v>
      </c>
      <c r="G484">
        <v>100000</v>
      </c>
      <c r="H484" t="s">
        <v>17</v>
      </c>
      <c r="I484">
        <v>0</v>
      </c>
      <c r="J484" t="s">
        <v>17</v>
      </c>
      <c r="K484" t="s">
        <v>18</v>
      </c>
      <c r="L484" s="3">
        <f t="shared" si="14"/>
        <v>-6765.3709449929447</v>
      </c>
      <c r="M484" s="3">
        <f t="shared" si="15"/>
        <v>45770244.023354732</v>
      </c>
    </row>
    <row r="485" spans="1:13" customFormat="1">
      <c r="A485">
        <v>2022</v>
      </c>
      <c r="B485" t="s">
        <v>13</v>
      </c>
      <c r="C485" t="s">
        <v>14</v>
      </c>
      <c r="D485" t="s">
        <v>15</v>
      </c>
      <c r="E485">
        <v>80000</v>
      </c>
      <c r="F485" t="s">
        <v>16</v>
      </c>
      <c r="G485">
        <v>80000</v>
      </c>
      <c r="H485" t="s">
        <v>17</v>
      </c>
      <c r="I485">
        <v>0</v>
      </c>
      <c r="J485" t="s">
        <v>17</v>
      </c>
      <c r="K485" t="s">
        <v>18</v>
      </c>
      <c r="L485" s="3">
        <f t="shared" si="14"/>
        <v>-26765.370944992945</v>
      </c>
      <c r="M485" s="3">
        <f t="shared" si="15"/>
        <v>716385081.82307255</v>
      </c>
    </row>
    <row r="486" spans="1:13" customFormat="1">
      <c r="A486">
        <v>2022</v>
      </c>
      <c r="B486" t="s">
        <v>13</v>
      </c>
      <c r="C486" t="s">
        <v>14</v>
      </c>
      <c r="D486" t="s">
        <v>15</v>
      </c>
      <c r="E486">
        <v>52500</v>
      </c>
      <c r="F486" t="s">
        <v>16</v>
      </c>
      <c r="G486">
        <v>52500</v>
      </c>
      <c r="H486" t="s">
        <v>17</v>
      </c>
      <c r="I486">
        <v>0</v>
      </c>
      <c r="J486" t="s">
        <v>17</v>
      </c>
      <c r="K486" t="s">
        <v>18</v>
      </c>
      <c r="L486" s="3">
        <f t="shared" si="14"/>
        <v>-54265.370944992945</v>
      </c>
      <c r="M486" s="3">
        <f t="shared" si="15"/>
        <v>2944730483.7976847</v>
      </c>
    </row>
    <row r="487" spans="1:13" customFormat="1">
      <c r="A487">
        <v>2022</v>
      </c>
      <c r="B487" t="s">
        <v>13</v>
      </c>
      <c r="C487" t="s">
        <v>14</v>
      </c>
      <c r="D487" t="s">
        <v>15</v>
      </c>
      <c r="E487">
        <v>135000</v>
      </c>
      <c r="F487" t="s">
        <v>16</v>
      </c>
      <c r="G487">
        <v>135000</v>
      </c>
      <c r="H487" t="s">
        <v>17</v>
      </c>
      <c r="I487">
        <v>100</v>
      </c>
      <c r="J487" t="s">
        <v>17</v>
      </c>
      <c r="K487" t="s">
        <v>18</v>
      </c>
      <c r="L487" s="3">
        <f t="shared" si="14"/>
        <v>28234.629055007055</v>
      </c>
      <c r="M487" s="3">
        <f t="shared" si="15"/>
        <v>797194277.87384856</v>
      </c>
    </row>
    <row r="488" spans="1:13" customFormat="1">
      <c r="A488">
        <v>2022</v>
      </c>
      <c r="B488" t="s">
        <v>13</v>
      </c>
      <c r="C488" t="s">
        <v>14</v>
      </c>
      <c r="D488" t="s">
        <v>15</v>
      </c>
      <c r="E488">
        <v>100000</v>
      </c>
      <c r="F488" t="s">
        <v>16</v>
      </c>
      <c r="G488">
        <v>100000</v>
      </c>
      <c r="H488" t="s">
        <v>17</v>
      </c>
      <c r="I488">
        <v>100</v>
      </c>
      <c r="J488" t="s">
        <v>17</v>
      </c>
      <c r="K488" t="s">
        <v>18</v>
      </c>
      <c r="L488" s="3">
        <f t="shared" si="14"/>
        <v>-6765.3709449929447</v>
      </c>
      <c r="M488" s="3">
        <f t="shared" si="15"/>
        <v>45770244.023354732</v>
      </c>
    </row>
    <row r="489" spans="1:13" customFormat="1">
      <c r="A489">
        <v>2022</v>
      </c>
      <c r="B489" t="s">
        <v>28</v>
      </c>
      <c r="C489" t="s">
        <v>56</v>
      </c>
      <c r="D489" t="s">
        <v>15</v>
      </c>
      <c r="E489">
        <v>125404</v>
      </c>
      <c r="F489" t="s">
        <v>16</v>
      </c>
      <c r="G489">
        <v>125404</v>
      </c>
      <c r="H489" t="s">
        <v>79</v>
      </c>
      <c r="I489">
        <v>50</v>
      </c>
      <c r="J489" t="s">
        <v>17</v>
      </c>
      <c r="K489" t="s">
        <v>57</v>
      </c>
      <c r="L489" s="3">
        <f t="shared" si="14"/>
        <v>18638.629055007055</v>
      </c>
      <c r="M489" s="3">
        <f t="shared" si="15"/>
        <v>347398493.0501532</v>
      </c>
    </row>
    <row r="490" spans="1:13" customFormat="1">
      <c r="A490">
        <v>2022</v>
      </c>
      <c r="B490" t="s">
        <v>13</v>
      </c>
      <c r="C490" t="s">
        <v>14</v>
      </c>
      <c r="D490" t="s">
        <v>80</v>
      </c>
      <c r="E490">
        <v>123000</v>
      </c>
      <c r="F490" t="s">
        <v>16</v>
      </c>
      <c r="G490">
        <v>123000</v>
      </c>
      <c r="H490" t="s">
        <v>17</v>
      </c>
      <c r="I490">
        <v>0</v>
      </c>
      <c r="J490" t="s">
        <v>17</v>
      </c>
      <c r="K490" t="s">
        <v>18</v>
      </c>
      <c r="L490" s="3">
        <f t="shared" si="14"/>
        <v>16234.629055007055</v>
      </c>
      <c r="M490" s="3">
        <f t="shared" si="15"/>
        <v>263563180.55367929</v>
      </c>
    </row>
    <row r="491" spans="1:13" customFormat="1">
      <c r="A491">
        <v>2022</v>
      </c>
      <c r="B491" t="s">
        <v>13</v>
      </c>
      <c r="C491" t="s">
        <v>14</v>
      </c>
      <c r="D491" t="s">
        <v>80</v>
      </c>
      <c r="E491">
        <v>92250</v>
      </c>
      <c r="F491" t="s">
        <v>16</v>
      </c>
      <c r="G491">
        <v>92250</v>
      </c>
      <c r="H491" t="s">
        <v>17</v>
      </c>
      <c r="I491">
        <v>0</v>
      </c>
      <c r="J491" t="s">
        <v>17</v>
      </c>
      <c r="K491" t="s">
        <v>18</v>
      </c>
      <c r="L491" s="3">
        <f t="shared" si="14"/>
        <v>-14515.370944992945</v>
      </c>
      <c r="M491" s="3">
        <f t="shared" si="15"/>
        <v>210695993.67074537</v>
      </c>
    </row>
    <row r="492" spans="1:13" customFormat="1">
      <c r="A492">
        <v>2022</v>
      </c>
      <c r="B492" t="s">
        <v>19</v>
      </c>
      <c r="C492" t="s">
        <v>14</v>
      </c>
      <c r="D492" t="s">
        <v>15</v>
      </c>
      <c r="E492">
        <v>80000</v>
      </c>
      <c r="F492" t="s">
        <v>16</v>
      </c>
      <c r="G492">
        <v>80000</v>
      </c>
      <c r="H492" t="s">
        <v>17</v>
      </c>
      <c r="I492">
        <v>0</v>
      </c>
      <c r="J492" t="s">
        <v>17</v>
      </c>
      <c r="K492" t="s">
        <v>18</v>
      </c>
      <c r="L492" s="3">
        <f t="shared" si="14"/>
        <v>-26765.370944992945</v>
      </c>
      <c r="M492" s="3">
        <f t="shared" si="15"/>
        <v>716385081.82307255</v>
      </c>
    </row>
    <row r="493" spans="1:13" customFormat="1">
      <c r="A493">
        <v>2022</v>
      </c>
      <c r="B493" t="s">
        <v>19</v>
      </c>
      <c r="C493" t="s">
        <v>14</v>
      </c>
      <c r="D493" t="s">
        <v>15</v>
      </c>
      <c r="E493">
        <v>52500</v>
      </c>
      <c r="F493" t="s">
        <v>16</v>
      </c>
      <c r="G493">
        <v>52500</v>
      </c>
      <c r="H493" t="s">
        <v>17</v>
      </c>
      <c r="I493">
        <v>0</v>
      </c>
      <c r="J493" t="s">
        <v>17</v>
      </c>
      <c r="K493" t="s">
        <v>18</v>
      </c>
      <c r="L493" s="3">
        <f t="shared" si="14"/>
        <v>-54265.370944992945</v>
      </c>
      <c r="M493" s="3">
        <f t="shared" si="15"/>
        <v>2944730483.7976847</v>
      </c>
    </row>
    <row r="494" spans="1:13" customFormat="1">
      <c r="A494">
        <v>2022</v>
      </c>
      <c r="B494" t="s">
        <v>13</v>
      </c>
      <c r="C494" t="s">
        <v>14</v>
      </c>
      <c r="D494" t="s">
        <v>15</v>
      </c>
      <c r="E494">
        <v>48000</v>
      </c>
      <c r="F494" t="s">
        <v>49</v>
      </c>
      <c r="G494">
        <v>50432</v>
      </c>
      <c r="H494" t="s">
        <v>50</v>
      </c>
      <c r="I494">
        <v>0</v>
      </c>
      <c r="J494" t="s">
        <v>50</v>
      </c>
      <c r="K494" t="s">
        <v>18</v>
      </c>
      <c r="L494" s="3">
        <f t="shared" si="14"/>
        <v>-56333.370944992945</v>
      </c>
      <c r="M494" s="3">
        <f t="shared" si="15"/>
        <v>3173448682.0261755</v>
      </c>
    </row>
    <row r="495" spans="1:13" customFormat="1">
      <c r="A495">
        <v>2022</v>
      </c>
      <c r="B495" t="s">
        <v>13</v>
      </c>
      <c r="C495" t="s">
        <v>14</v>
      </c>
      <c r="D495" t="s">
        <v>15</v>
      </c>
      <c r="E495">
        <v>35000</v>
      </c>
      <c r="F495" t="s">
        <v>49</v>
      </c>
      <c r="G495">
        <v>36773</v>
      </c>
      <c r="H495" t="s">
        <v>50</v>
      </c>
      <c r="I495">
        <v>0</v>
      </c>
      <c r="J495" t="s">
        <v>50</v>
      </c>
      <c r="K495" t="s">
        <v>18</v>
      </c>
      <c r="L495" s="3">
        <f t="shared" si="14"/>
        <v>-69992.370944992945</v>
      </c>
      <c r="M495" s="3">
        <f t="shared" si="15"/>
        <v>4898931990.5014925</v>
      </c>
    </row>
    <row r="496" spans="1:13" customFormat="1">
      <c r="A496">
        <v>2022</v>
      </c>
      <c r="B496" t="s">
        <v>13</v>
      </c>
      <c r="C496" t="s">
        <v>14</v>
      </c>
      <c r="D496" t="s">
        <v>15</v>
      </c>
      <c r="E496">
        <v>150000</v>
      </c>
      <c r="F496" t="s">
        <v>16</v>
      </c>
      <c r="G496">
        <v>150000</v>
      </c>
      <c r="H496" t="s">
        <v>17</v>
      </c>
      <c r="I496">
        <v>0</v>
      </c>
      <c r="J496" t="s">
        <v>17</v>
      </c>
      <c r="K496" t="s">
        <v>18</v>
      </c>
      <c r="L496" s="3">
        <f t="shared" si="14"/>
        <v>43234.629055007055</v>
      </c>
      <c r="M496" s="3">
        <f t="shared" si="15"/>
        <v>1869233149.5240602</v>
      </c>
    </row>
    <row r="497" spans="1:13" customFormat="1">
      <c r="A497">
        <v>2022</v>
      </c>
      <c r="B497" t="s">
        <v>13</v>
      </c>
      <c r="C497" t="s">
        <v>14</v>
      </c>
      <c r="D497" t="s">
        <v>15</v>
      </c>
      <c r="E497">
        <v>95000</v>
      </c>
      <c r="F497" t="s">
        <v>16</v>
      </c>
      <c r="G497">
        <v>95000</v>
      </c>
      <c r="H497" t="s">
        <v>17</v>
      </c>
      <c r="I497">
        <v>0</v>
      </c>
      <c r="J497" t="s">
        <v>17</v>
      </c>
      <c r="K497" t="s">
        <v>18</v>
      </c>
      <c r="L497" s="3">
        <f t="shared" si="14"/>
        <v>-11765.370944992945</v>
      </c>
      <c r="M497" s="3">
        <f t="shared" si="15"/>
        <v>138423953.47328418</v>
      </c>
    </row>
    <row r="498" spans="1:13" customFormat="1">
      <c r="A498">
        <v>2022</v>
      </c>
      <c r="B498" t="s">
        <v>19</v>
      </c>
      <c r="C498" t="s">
        <v>14</v>
      </c>
      <c r="D498" t="s">
        <v>54</v>
      </c>
      <c r="E498">
        <v>78000</v>
      </c>
      <c r="F498" t="s">
        <v>16</v>
      </c>
      <c r="G498">
        <v>78000</v>
      </c>
      <c r="H498" t="s">
        <v>59</v>
      </c>
      <c r="I498">
        <v>100</v>
      </c>
      <c r="J498" t="s">
        <v>59</v>
      </c>
      <c r="K498" t="s">
        <v>18</v>
      </c>
      <c r="L498" s="3">
        <f t="shared" si="14"/>
        <v>-28765.370944992945</v>
      </c>
      <c r="M498" s="3">
        <f t="shared" si="15"/>
        <v>827446565.60304427</v>
      </c>
    </row>
    <row r="499" spans="1:13" customFormat="1">
      <c r="A499">
        <v>2022</v>
      </c>
      <c r="B499" t="s">
        <v>19</v>
      </c>
      <c r="C499" t="s">
        <v>14</v>
      </c>
      <c r="D499" t="s">
        <v>54</v>
      </c>
      <c r="E499">
        <v>48000</v>
      </c>
      <c r="F499" t="s">
        <v>16</v>
      </c>
      <c r="G499">
        <v>48000</v>
      </c>
      <c r="H499" t="s">
        <v>59</v>
      </c>
      <c r="I499">
        <v>100</v>
      </c>
      <c r="J499" t="s">
        <v>59</v>
      </c>
      <c r="K499" t="s">
        <v>18</v>
      </c>
      <c r="L499" s="3">
        <f t="shared" si="14"/>
        <v>-58765.370944992945</v>
      </c>
      <c r="M499" s="3">
        <f t="shared" si="15"/>
        <v>3453368822.3026209</v>
      </c>
    </row>
    <row r="500" spans="1:13" customFormat="1">
      <c r="A500">
        <v>2022</v>
      </c>
      <c r="B500" t="s">
        <v>13</v>
      </c>
      <c r="C500" t="s">
        <v>14</v>
      </c>
      <c r="D500" t="s">
        <v>15</v>
      </c>
      <c r="E500">
        <v>175950</v>
      </c>
      <c r="F500" t="s">
        <v>16</v>
      </c>
      <c r="G500">
        <v>175950</v>
      </c>
      <c r="H500" t="s">
        <v>17</v>
      </c>
      <c r="I500">
        <v>100</v>
      </c>
      <c r="J500" t="s">
        <v>17</v>
      </c>
      <c r="K500" t="s">
        <v>18</v>
      </c>
      <c r="L500" s="3">
        <f t="shared" si="14"/>
        <v>69184.629055007055</v>
      </c>
      <c r="M500" s="3">
        <f t="shared" si="15"/>
        <v>4786512897.4789267</v>
      </c>
    </row>
    <row r="501" spans="1:13" customFormat="1">
      <c r="A501">
        <v>2022</v>
      </c>
      <c r="B501" t="s">
        <v>13</v>
      </c>
      <c r="C501" t="s">
        <v>14</v>
      </c>
      <c r="D501" t="s">
        <v>15</v>
      </c>
      <c r="E501">
        <v>130050</v>
      </c>
      <c r="F501" t="s">
        <v>16</v>
      </c>
      <c r="G501">
        <v>130050</v>
      </c>
      <c r="H501" t="s">
        <v>17</v>
      </c>
      <c r="I501">
        <v>100</v>
      </c>
      <c r="J501" t="s">
        <v>17</v>
      </c>
      <c r="K501" t="s">
        <v>18</v>
      </c>
      <c r="L501" s="3">
        <f t="shared" si="14"/>
        <v>23284.629055007055</v>
      </c>
      <c r="M501" s="3">
        <f t="shared" si="15"/>
        <v>542173950.2292788</v>
      </c>
    </row>
    <row r="502" spans="1:13" customFormat="1">
      <c r="A502">
        <v>2022</v>
      </c>
      <c r="B502" t="s">
        <v>13</v>
      </c>
      <c r="C502" t="s">
        <v>14</v>
      </c>
      <c r="D502" t="s">
        <v>15</v>
      </c>
      <c r="E502">
        <v>236600</v>
      </c>
      <c r="F502" t="s">
        <v>16</v>
      </c>
      <c r="G502">
        <v>236600</v>
      </c>
      <c r="H502" t="s">
        <v>17</v>
      </c>
      <c r="I502">
        <v>100</v>
      </c>
      <c r="J502" t="s">
        <v>17</v>
      </c>
      <c r="K502" t="s">
        <v>18</v>
      </c>
      <c r="L502" s="3">
        <f t="shared" si="14"/>
        <v>129834.62905500706</v>
      </c>
      <c r="M502" s="3">
        <f t="shared" si="15"/>
        <v>16857030901.851282</v>
      </c>
    </row>
    <row r="503" spans="1:13" customFormat="1">
      <c r="A503">
        <v>2022</v>
      </c>
      <c r="B503" t="s">
        <v>13</v>
      </c>
      <c r="C503" t="s">
        <v>14</v>
      </c>
      <c r="D503" t="s">
        <v>15</v>
      </c>
      <c r="E503">
        <v>89200</v>
      </c>
      <c r="F503" t="s">
        <v>16</v>
      </c>
      <c r="G503">
        <v>89200</v>
      </c>
      <c r="H503" t="s">
        <v>17</v>
      </c>
      <c r="I503">
        <v>100</v>
      </c>
      <c r="J503" t="s">
        <v>17</v>
      </c>
      <c r="K503" t="s">
        <v>18</v>
      </c>
      <c r="L503" s="3">
        <f t="shared" si="14"/>
        <v>-17565.370944992945</v>
      </c>
      <c r="M503" s="3">
        <f t="shared" si="15"/>
        <v>308542256.43520236</v>
      </c>
    </row>
    <row r="504" spans="1:13" customFormat="1">
      <c r="A504">
        <v>2022</v>
      </c>
      <c r="B504" t="s">
        <v>13</v>
      </c>
      <c r="C504" t="s">
        <v>14</v>
      </c>
      <c r="D504" t="s">
        <v>81</v>
      </c>
      <c r="E504">
        <v>200000</v>
      </c>
      <c r="F504" t="s">
        <v>16</v>
      </c>
      <c r="G504">
        <v>200000</v>
      </c>
      <c r="H504" t="s">
        <v>42</v>
      </c>
      <c r="I504">
        <v>100</v>
      </c>
      <c r="J504" t="s">
        <v>42</v>
      </c>
      <c r="K504" t="s">
        <v>57</v>
      </c>
      <c r="L504" s="3">
        <f t="shared" si="14"/>
        <v>93234.629055007055</v>
      </c>
      <c r="M504" s="3">
        <f t="shared" si="15"/>
        <v>8692696055.024765</v>
      </c>
    </row>
    <row r="505" spans="1:13" customFormat="1">
      <c r="A505">
        <v>2022</v>
      </c>
      <c r="B505" t="s">
        <v>13</v>
      </c>
      <c r="C505" t="s">
        <v>14</v>
      </c>
      <c r="D505" t="s">
        <v>15</v>
      </c>
      <c r="E505">
        <v>169000</v>
      </c>
      <c r="F505" t="s">
        <v>16</v>
      </c>
      <c r="G505">
        <v>169000</v>
      </c>
      <c r="H505" t="s">
        <v>17</v>
      </c>
      <c r="I505">
        <v>0</v>
      </c>
      <c r="J505" t="s">
        <v>17</v>
      </c>
      <c r="K505" t="s">
        <v>18</v>
      </c>
      <c r="L505" s="3">
        <f t="shared" si="14"/>
        <v>62234.629055007055</v>
      </c>
      <c r="M505" s="3">
        <f t="shared" si="15"/>
        <v>3873149053.6143284</v>
      </c>
    </row>
    <row r="506" spans="1:13" customFormat="1">
      <c r="A506">
        <v>2022</v>
      </c>
      <c r="B506" t="s">
        <v>13</v>
      </c>
      <c r="C506" t="s">
        <v>14</v>
      </c>
      <c r="D506" t="s">
        <v>15</v>
      </c>
      <c r="E506">
        <v>110600</v>
      </c>
      <c r="F506" t="s">
        <v>16</v>
      </c>
      <c r="G506">
        <v>110600</v>
      </c>
      <c r="H506" t="s">
        <v>17</v>
      </c>
      <c r="I506">
        <v>0</v>
      </c>
      <c r="J506" t="s">
        <v>17</v>
      </c>
      <c r="K506" t="s">
        <v>18</v>
      </c>
      <c r="L506" s="3">
        <f t="shared" si="14"/>
        <v>3834.6290550070553</v>
      </c>
      <c r="M506" s="3">
        <f t="shared" si="15"/>
        <v>14704379.989504302</v>
      </c>
    </row>
    <row r="507" spans="1:13" customFormat="1">
      <c r="A507">
        <v>2022</v>
      </c>
      <c r="B507" t="s">
        <v>19</v>
      </c>
      <c r="C507" t="s">
        <v>14</v>
      </c>
      <c r="D507" t="s">
        <v>15</v>
      </c>
      <c r="E507">
        <v>85000</v>
      </c>
      <c r="F507" t="s">
        <v>16</v>
      </c>
      <c r="G507">
        <v>85000</v>
      </c>
      <c r="H507" t="s">
        <v>17</v>
      </c>
      <c r="I507">
        <v>0</v>
      </c>
      <c r="J507" t="s">
        <v>17</v>
      </c>
      <c r="K507" t="s">
        <v>18</v>
      </c>
      <c r="L507" s="3">
        <f t="shared" si="14"/>
        <v>-21765.370944992945</v>
      </c>
      <c r="M507" s="3">
        <f t="shared" si="15"/>
        <v>473731372.37314308</v>
      </c>
    </row>
    <row r="508" spans="1:13" customFormat="1">
      <c r="A508">
        <v>2022</v>
      </c>
      <c r="B508" t="s">
        <v>19</v>
      </c>
      <c r="C508" t="s">
        <v>14</v>
      </c>
      <c r="D508" t="s">
        <v>15</v>
      </c>
      <c r="E508">
        <v>65000</v>
      </c>
      <c r="F508" t="s">
        <v>16</v>
      </c>
      <c r="G508">
        <v>65000</v>
      </c>
      <c r="H508" t="s">
        <v>17</v>
      </c>
      <c r="I508">
        <v>0</v>
      </c>
      <c r="J508" t="s">
        <v>17</v>
      </c>
      <c r="K508" t="s">
        <v>18</v>
      </c>
      <c r="L508" s="3">
        <f t="shared" si="14"/>
        <v>-41765.370944992945</v>
      </c>
      <c r="M508" s="3">
        <f t="shared" si="15"/>
        <v>1744346210.1728609</v>
      </c>
    </row>
    <row r="509" spans="1:13" customFormat="1">
      <c r="A509">
        <v>2022</v>
      </c>
      <c r="B509" t="s">
        <v>13</v>
      </c>
      <c r="C509" t="s">
        <v>14</v>
      </c>
      <c r="D509" t="s">
        <v>15</v>
      </c>
      <c r="E509">
        <v>169000</v>
      </c>
      <c r="F509" t="s">
        <v>16</v>
      </c>
      <c r="G509">
        <v>169000</v>
      </c>
      <c r="H509" t="s">
        <v>17</v>
      </c>
      <c r="I509">
        <v>0</v>
      </c>
      <c r="J509" t="s">
        <v>17</v>
      </c>
      <c r="K509" t="s">
        <v>18</v>
      </c>
      <c r="L509" s="3">
        <f t="shared" si="14"/>
        <v>62234.629055007055</v>
      </c>
      <c r="M509" s="3">
        <f t="shared" si="15"/>
        <v>3873149053.6143284</v>
      </c>
    </row>
    <row r="510" spans="1:13" customFormat="1">
      <c r="A510">
        <v>2022</v>
      </c>
      <c r="B510" t="s">
        <v>13</v>
      </c>
      <c r="C510" t="s">
        <v>14</v>
      </c>
      <c r="D510" t="s">
        <v>15</v>
      </c>
      <c r="E510">
        <v>110600</v>
      </c>
      <c r="F510" t="s">
        <v>16</v>
      </c>
      <c r="G510">
        <v>110600</v>
      </c>
      <c r="H510" t="s">
        <v>17</v>
      </c>
      <c r="I510">
        <v>0</v>
      </c>
      <c r="J510" t="s">
        <v>17</v>
      </c>
      <c r="K510" t="s">
        <v>18</v>
      </c>
      <c r="L510" s="3">
        <f t="shared" si="14"/>
        <v>3834.6290550070553</v>
      </c>
      <c r="M510" s="3">
        <f t="shared" si="15"/>
        <v>14704379.989504302</v>
      </c>
    </row>
    <row r="511" spans="1:13" customFormat="1">
      <c r="A511">
        <v>2022</v>
      </c>
      <c r="B511" t="s">
        <v>13</v>
      </c>
      <c r="C511" t="s">
        <v>14</v>
      </c>
      <c r="D511" t="s">
        <v>15</v>
      </c>
      <c r="E511">
        <v>139600</v>
      </c>
      <c r="F511" t="s">
        <v>16</v>
      </c>
      <c r="G511">
        <v>139600</v>
      </c>
      <c r="H511" t="s">
        <v>17</v>
      </c>
      <c r="I511">
        <v>0</v>
      </c>
      <c r="J511" t="s">
        <v>17</v>
      </c>
      <c r="K511" t="s">
        <v>18</v>
      </c>
      <c r="L511" s="3">
        <f t="shared" si="14"/>
        <v>32834.629055007055</v>
      </c>
      <c r="M511" s="3">
        <f t="shared" si="15"/>
        <v>1078112865.1799135</v>
      </c>
    </row>
    <row r="512" spans="1:13" customFormat="1">
      <c r="A512">
        <v>2022</v>
      </c>
      <c r="B512" t="s">
        <v>13</v>
      </c>
      <c r="C512" t="s">
        <v>14</v>
      </c>
      <c r="D512" t="s">
        <v>15</v>
      </c>
      <c r="E512">
        <v>85700</v>
      </c>
      <c r="F512" t="s">
        <v>16</v>
      </c>
      <c r="G512">
        <v>85700</v>
      </c>
      <c r="H512" t="s">
        <v>17</v>
      </c>
      <c r="I512">
        <v>0</v>
      </c>
      <c r="J512" t="s">
        <v>17</v>
      </c>
      <c r="K512" t="s">
        <v>18</v>
      </c>
      <c r="L512" s="3">
        <f t="shared" si="14"/>
        <v>-21065.370944992945</v>
      </c>
      <c r="M512" s="3">
        <f t="shared" si="15"/>
        <v>443749853.05015296</v>
      </c>
    </row>
    <row r="513" spans="1:13" customFormat="1">
      <c r="A513">
        <v>2022</v>
      </c>
      <c r="B513" t="s">
        <v>13</v>
      </c>
      <c r="C513" t="s">
        <v>14</v>
      </c>
      <c r="D513" t="s">
        <v>15</v>
      </c>
      <c r="E513">
        <v>115000</v>
      </c>
      <c r="F513" t="s">
        <v>16</v>
      </c>
      <c r="G513">
        <v>115000</v>
      </c>
      <c r="H513" t="s">
        <v>17</v>
      </c>
      <c r="I513">
        <v>100</v>
      </c>
      <c r="J513" t="s">
        <v>17</v>
      </c>
      <c r="K513" t="s">
        <v>18</v>
      </c>
      <c r="L513" s="3">
        <f t="shared" si="14"/>
        <v>8234.6290550070553</v>
      </c>
      <c r="M513" s="3">
        <f t="shared" si="15"/>
        <v>67809115.673566386</v>
      </c>
    </row>
    <row r="514" spans="1:13" customFormat="1">
      <c r="A514">
        <v>2022</v>
      </c>
      <c r="B514" t="s">
        <v>13</v>
      </c>
      <c r="C514" t="s">
        <v>14</v>
      </c>
      <c r="D514" t="s">
        <v>15</v>
      </c>
      <c r="E514">
        <v>95000</v>
      </c>
      <c r="F514" t="s">
        <v>16</v>
      </c>
      <c r="G514">
        <v>95000</v>
      </c>
      <c r="H514" t="s">
        <v>17</v>
      </c>
      <c r="I514">
        <v>100</v>
      </c>
      <c r="J514" t="s">
        <v>17</v>
      </c>
      <c r="K514" t="s">
        <v>18</v>
      </c>
      <c r="L514" s="3">
        <f t="shared" si="14"/>
        <v>-11765.370944992945</v>
      </c>
      <c r="M514" s="3">
        <f t="shared" si="15"/>
        <v>138423953.47328418</v>
      </c>
    </row>
    <row r="515" spans="1:13" customFormat="1">
      <c r="A515">
        <v>2022</v>
      </c>
      <c r="B515" t="s">
        <v>19</v>
      </c>
      <c r="C515" t="s">
        <v>14</v>
      </c>
      <c r="D515" t="s">
        <v>15</v>
      </c>
      <c r="E515">
        <v>105000</v>
      </c>
      <c r="F515" t="s">
        <v>16</v>
      </c>
      <c r="G515">
        <v>105000</v>
      </c>
      <c r="H515" t="s">
        <v>17</v>
      </c>
      <c r="I515">
        <v>0</v>
      </c>
      <c r="J515" t="s">
        <v>17</v>
      </c>
      <c r="K515" t="s">
        <v>18</v>
      </c>
      <c r="L515" s="3">
        <f t="shared" ref="L515:L578" si="16">G515-$P$5</f>
        <v>-1765.3709449929447</v>
      </c>
      <c r="M515" s="3">
        <f t="shared" ref="M515:M578" si="17">L515^2</f>
        <v>3116534.5734252827</v>
      </c>
    </row>
    <row r="516" spans="1:13" customFormat="1">
      <c r="A516">
        <v>2022</v>
      </c>
      <c r="B516" t="s">
        <v>19</v>
      </c>
      <c r="C516" t="s">
        <v>14</v>
      </c>
      <c r="D516" t="s">
        <v>15</v>
      </c>
      <c r="E516">
        <v>62000</v>
      </c>
      <c r="F516" t="s">
        <v>16</v>
      </c>
      <c r="G516">
        <v>62000</v>
      </c>
      <c r="H516" t="s">
        <v>17</v>
      </c>
      <c r="I516">
        <v>0</v>
      </c>
      <c r="J516" t="s">
        <v>17</v>
      </c>
      <c r="K516" t="s">
        <v>18</v>
      </c>
      <c r="L516" s="3">
        <f t="shared" si="16"/>
        <v>-44765.370944992945</v>
      </c>
      <c r="M516" s="3">
        <f t="shared" si="17"/>
        <v>2003938435.8428185</v>
      </c>
    </row>
    <row r="517" spans="1:13" customFormat="1">
      <c r="A517">
        <v>2022</v>
      </c>
      <c r="B517" t="s">
        <v>28</v>
      </c>
      <c r="C517" t="s">
        <v>14</v>
      </c>
      <c r="D517" t="s">
        <v>60</v>
      </c>
      <c r="E517">
        <v>57000</v>
      </c>
      <c r="F517" t="s">
        <v>16</v>
      </c>
      <c r="G517">
        <v>57000</v>
      </c>
      <c r="H517" t="s">
        <v>17</v>
      </c>
      <c r="I517">
        <v>100</v>
      </c>
      <c r="J517" t="s">
        <v>17</v>
      </c>
      <c r="K517" t="s">
        <v>31</v>
      </c>
      <c r="L517" s="3">
        <f t="shared" si="16"/>
        <v>-49765.370944992945</v>
      </c>
      <c r="M517" s="3">
        <f t="shared" si="17"/>
        <v>2476592145.292748</v>
      </c>
    </row>
    <row r="518" spans="1:13" customFormat="1">
      <c r="A518">
        <v>2022</v>
      </c>
      <c r="B518" t="s">
        <v>13</v>
      </c>
      <c r="C518" t="s">
        <v>14</v>
      </c>
      <c r="D518" t="s">
        <v>15</v>
      </c>
      <c r="E518">
        <v>115934</v>
      </c>
      <c r="F518" t="s">
        <v>16</v>
      </c>
      <c r="G518">
        <v>115934</v>
      </c>
      <c r="H518" t="s">
        <v>17</v>
      </c>
      <c r="I518">
        <v>100</v>
      </c>
      <c r="J518" t="s">
        <v>17</v>
      </c>
      <c r="K518" t="s">
        <v>18</v>
      </c>
      <c r="L518" s="3">
        <f t="shared" si="16"/>
        <v>9168.6290550070553</v>
      </c>
      <c r="M518" s="3">
        <f t="shared" si="17"/>
        <v>84063758.748319566</v>
      </c>
    </row>
    <row r="519" spans="1:13" customFormat="1">
      <c r="A519">
        <v>2022</v>
      </c>
      <c r="B519" t="s">
        <v>13</v>
      </c>
      <c r="C519" t="s">
        <v>14</v>
      </c>
      <c r="D519" t="s">
        <v>15</v>
      </c>
      <c r="E519">
        <v>81666</v>
      </c>
      <c r="F519" t="s">
        <v>16</v>
      </c>
      <c r="G519">
        <v>81666</v>
      </c>
      <c r="H519" t="s">
        <v>17</v>
      </c>
      <c r="I519">
        <v>100</v>
      </c>
      <c r="J519" t="s">
        <v>17</v>
      </c>
      <c r="K519" t="s">
        <v>18</v>
      </c>
      <c r="L519" s="3">
        <f t="shared" si="16"/>
        <v>-25099.370944992945</v>
      </c>
      <c r="M519" s="3">
        <f t="shared" si="17"/>
        <v>629978421.83435607</v>
      </c>
    </row>
    <row r="520" spans="1:13" customFormat="1">
      <c r="A520">
        <v>2022</v>
      </c>
      <c r="B520" t="s">
        <v>13</v>
      </c>
      <c r="C520" t="s">
        <v>14</v>
      </c>
      <c r="D520" t="s">
        <v>15</v>
      </c>
      <c r="E520">
        <v>48000</v>
      </c>
      <c r="F520" t="s">
        <v>49</v>
      </c>
      <c r="G520">
        <v>50432</v>
      </c>
      <c r="H520" t="s">
        <v>50</v>
      </c>
      <c r="I520">
        <v>0</v>
      </c>
      <c r="J520" t="s">
        <v>50</v>
      </c>
      <c r="K520" t="s">
        <v>18</v>
      </c>
      <c r="L520" s="3">
        <f t="shared" si="16"/>
        <v>-56333.370944992945</v>
      </c>
      <c r="M520" s="3">
        <f t="shared" si="17"/>
        <v>3173448682.0261755</v>
      </c>
    </row>
    <row r="521" spans="1:13" customFormat="1">
      <c r="A521">
        <v>2022</v>
      </c>
      <c r="B521" t="s">
        <v>13</v>
      </c>
      <c r="C521" t="s">
        <v>14</v>
      </c>
      <c r="D521" t="s">
        <v>15</v>
      </c>
      <c r="E521">
        <v>35000</v>
      </c>
      <c r="F521" t="s">
        <v>49</v>
      </c>
      <c r="G521">
        <v>36773</v>
      </c>
      <c r="H521" t="s">
        <v>50</v>
      </c>
      <c r="I521">
        <v>0</v>
      </c>
      <c r="J521" t="s">
        <v>50</v>
      </c>
      <c r="K521" t="s">
        <v>18</v>
      </c>
      <c r="L521" s="3">
        <f t="shared" si="16"/>
        <v>-69992.370944992945</v>
      </c>
      <c r="M521" s="3">
        <f t="shared" si="17"/>
        <v>4898931990.5014925</v>
      </c>
    </row>
    <row r="522" spans="1:13" customFormat="1">
      <c r="A522">
        <v>2022</v>
      </c>
      <c r="B522" t="s">
        <v>13</v>
      </c>
      <c r="C522" t="s">
        <v>14</v>
      </c>
      <c r="D522" t="s">
        <v>54</v>
      </c>
      <c r="E522">
        <v>200000</v>
      </c>
      <c r="F522" t="s">
        <v>16</v>
      </c>
      <c r="G522">
        <v>200000</v>
      </c>
      <c r="H522" t="s">
        <v>30</v>
      </c>
      <c r="I522">
        <v>100</v>
      </c>
      <c r="J522" t="s">
        <v>30</v>
      </c>
      <c r="K522" t="s">
        <v>57</v>
      </c>
      <c r="L522" s="3">
        <f t="shared" si="16"/>
        <v>93234.629055007055</v>
      </c>
      <c r="M522" s="3">
        <f t="shared" si="17"/>
        <v>8692696055.024765</v>
      </c>
    </row>
    <row r="523" spans="1:13" customFormat="1">
      <c r="A523">
        <v>2022</v>
      </c>
      <c r="B523" t="s">
        <v>13</v>
      </c>
      <c r="C523" t="s">
        <v>82</v>
      </c>
      <c r="D523" t="s">
        <v>15</v>
      </c>
      <c r="E523">
        <v>90000</v>
      </c>
      <c r="F523" t="s">
        <v>16</v>
      </c>
      <c r="G523">
        <v>90000</v>
      </c>
      <c r="H523" t="s">
        <v>17</v>
      </c>
      <c r="I523">
        <v>100</v>
      </c>
      <c r="J523" t="s">
        <v>17</v>
      </c>
      <c r="K523" t="s">
        <v>18</v>
      </c>
      <c r="L523" s="3">
        <f t="shared" si="16"/>
        <v>-16765.370944992945</v>
      </c>
      <c r="M523" s="3">
        <f t="shared" si="17"/>
        <v>281077662.9232136</v>
      </c>
    </row>
    <row r="524" spans="1:13" customFormat="1">
      <c r="A524">
        <v>2022</v>
      </c>
      <c r="B524" t="s">
        <v>19</v>
      </c>
      <c r="C524" t="s">
        <v>14</v>
      </c>
      <c r="D524" t="s">
        <v>60</v>
      </c>
      <c r="E524">
        <v>65000</v>
      </c>
      <c r="F524" t="s">
        <v>83</v>
      </c>
      <c r="G524">
        <v>45050</v>
      </c>
      <c r="H524" t="s">
        <v>73</v>
      </c>
      <c r="I524">
        <v>50</v>
      </c>
      <c r="J524" t="s">
        <v>73</v>
      </c>
      <c r="K524" t="s">
        <v>31</v>
      </c>
      <c r="L524" s="3">
        <f t="shared" si="16"/>
        <v>-61715.370944992945</v>
      </c>
      <c r="M524" s="3">
        <f t="shared" si="17"/>
        <v>3808787010.8780794</v>
      </c>
    </row>
    <row r="525" spans="1:13" customFormat="1">
      <c r="A525">
        <v>2021</v>
      </c>
      <c r="B525" t="s">
        <v>28</v>
      </c>
      <c r="C525" t="s">
        <v>14</v>
      </c>
      <c r="D525" t="s">
        <v>15</v>
      </c>
      <c r="E525">
        <v>56000</v>
      </c>
      <c r="F525" t="s">
        <v>83</v>
      </c>
      <c r="G525">
        <v>42028</v>
      </c>
      <c r="H525" t="s">
        <v>73</v>
      </c>
      <c r="I525">
        <v>50</v>
      </c>
      <c r="J525" t="s">
        <v>73</v>
      </c>
      <c r="K525" t="s">
        <v>31</v>
      </c>
      <c r="L525" s="3">
        <f t="shared" si="16"/>
        <v>-64737.370944992945</v>
      </c>
      <c r="M525" s="3">
        <f t="shared" si="17"/>
        <v>4190927196.8696165</v>
      </c>
    </row>
    <row r="526" spans="1:13" customFormat="1">
      <c r="A526">
        <v>2022</v>
      </c>
      <c r="B526" t="s">
        <v>28</v>
      </c>
      <c r="C526" t="s">
        <v>14</v>
      </c>
      <c r="D526" t="s">
        <v>15</v>
      </c>
      <c r="E526">
        <v>20000</v>
      </c>
      <c r="F526" t="s">
        <v>16</v>
      </c>
      <c r="G526">
        <v>20000</v>
      </c>
      <c r="H526" t="s">
        <v>84</v>
      </c>
      <c r="I526">
        <v>50</v>
      </c>
      <c r="J526" t="s">
        <v>17</v>
      </c>
      <c r="K526" t="s">
        <v>18</v>
      </c>
      <c r="L526" s="3">
        <f t="shared" si="16"/>
        <v>-86765.370944992945</v>
      </c>
      <c r="M526" s="3">
        <f t="shared" si="17"/>
        <v>7528229595.2222261</v>
      </c>
    </row>
    <row r="527" spans="1:13" customFormat="1">
      <c r="A527">
        <v>2022</v>
      </c>
      <c r="B527" t="s">
        <v>13</v>
      </c>
      <c r="C527" t="s">
        <v>14</v>
      </c>
      <c r="D527" t="s">
        <v>15</v>
      </c>
      <c r="E527">
        <v>99750</v>
      </c>
      <c r="F527" t="s">
        <v>16</v>
      </c>
      <c r="G527">
        <v>99750</v>
      </c>
      <c r="H527" t="s">
        <v>17</v>
      </c>
      <c r="I527">
        <v>100</v>
      </c>
      <c r="J527" t="s">
        <v>17</v>
      </c>
      <c r="K527" t="s">
        <v>18</v>
      </c>
      <c r="L527" s="3">
        <f t="shared" si="16"/>
        <v>-7015.3709449929447</v>
      </c>
      <c r="M527" s="3">
        <f t="shared" si="17"/>
        <v>49215429.495851204</v>
      </c>
    </row>
    <row r="528" spans="1:13" customFormat="1">
      <c r="A528">
        <v>2022</v>
      </c>
      <c r="B528" t="s">
        <v>13</v>
      </c>
      <c r="C528" t="s">
        <v>14</v>
      </c>
      <c r="D528" t="s">
        <v>15</v>
      </c>
      <c r="E528">
        <v>68400</v>
      </c>
      <c r="F528" t="s">
        <v>16</v>
      </c>
      <c r="G528">
        <v>68400</v>
      </c>
      <c r="H528" t="s">
        <v>17</v>
      </c>
      <c r="I528">
        <v>100</v>
      </c>
      <c r="J528" t="s">
        <v>17</v>
      </c>
      <c r="K528" t="s">
        <v>18</v>
      </c>
      <c r="L528" s="3">
        <f t="shared" si="16"/>
        <v>-38365.370944992945</v>
      </c>
      <c r="M528" s="3">
        <f t="shared" si="17"/>
        <v>1471901687.7469089</v>
      </c>
    </row>
    <row r="529" spans="1:13" customFormat="1">
      <c r="A529">
        <v>2022</v>
      </c>
      <c r="B529" t="s">
        <v>13</v>
      </c>
      <c r="C529" t="s">
        <v>14</v>
      </c>
      <c r="D529" t="s">
        <v>15</v>
      </c>
      <c r="E529">
        <v>110000</v>
      </c>
      <c r="F529" t="s">
        <v>16</v>
      </c>
      <c r="G529">
        <v>110000</v>
      </c>
      <c r="H529" t="s">
        <v>17</v>
      </c>
      <c r="I529">
        <v>0</v>
      </c>
      <c r="J529" t="s">
        <v>17</v>
      </c>
      <c r="K529" t="s">
        <v>18</v>
      </c>
      <c r="L529" s="3">
        <f t="shared" si="16"/>
        <v>3234.6290550070553</v>
      </c>
      <c r="M529" s="3">
        <f t="shared" si="17"/>
        <v>10462825.123495836</v>
      </c>
    </row>
    <row r="530" spans="1:13" customFormat="1">
      <c r="A530">
        <v>2022</v>
      </c>
      <c r="B530" t="s">
        <v>13</v>
      </c>
      <c r="C530" t="s">
        <v>14</v>
      </c>
      <c r="D530" t="s">
        <v>15</v>
      </c>
      <c r="E530">
        <v>99000</v>
      </c>
      <c r="F530" t="s">
        <v>16</v>
      </c>
      <c r="G530">
        <v>99000</v>
      </c>
      <c r="H530" t="s">
        <v>17</v>
      </c>
      <c r="I530">
        <v>0</v>
      </c>
      <c r="J530" t="s">
        <v>17</v>
      </c>
      <c r="K530" t="s">
        <v>18</v>
      </c>
      <c r="L530" s="3">
        <f t="shared" si="16"/>
        <v>-7765.3709449929447</v>
      </c>
      <c r="M530" s="3">
        <f t="shared" si="17"/>
        <v>60300985.913340621</v>
      </c>
    </row>
    <row r="531" spans="1:13" customFormat="1">
      <c r="A531">
        <v>2022</v>
      </c>
      <c r="B531" t="s">
        <v>13</v>
      </c>
      <c r="C531" t="s">
        <v>14</v>
      </c>
      <c r="D531" t="s">
        <v>15</v>
      </c>
      <c r="E531">
        <v>48000</v>
      </c>
      <c r="F531" t="s">
        <v>49</v>
      </c>
      <c r="G531">
        <v>50432</v>
      </c>
      <c r="H531" t="s">
        <v>50</v>
      </c>
      <c r="I531">
        <v>0</v>
      </c>
      <c r="J531" t="s">
        <v>50</v>
      </c>
      <c r="K531" t="s">
        <v>18</v>
      </c>
      <c r="L531" s="3">
        <f t="shared" si="16"/>
        <v>-56333.370944992945</v>
      </c>
      <c r="M531" s="3">
        <f t="shared" si="17"/>
        <v>3173448682.0261755</v>
      </c>
    </row>
    <row r="532" spans="1:13" customFormat="1">
      <c r="A532">
        <v>2022</v>
      </c>
      <c r="B532" t="s">
        <v>13</v>
      </c>
      <c r="C532" t="s">
        <v>14</v>
      </c>
      <c r="D532" t="s">
        <v>15</v>
      </c>
      <c r="E532">
        <v>35000</v>
      </c>
      <c r="F532" t="s">
        <v>49</v>
      </c>
      <c r="G532">
        <v>36773</v>
      </c>
      <c r="H532" t="s">
        <v>50</v>
      </c>
      <c r="I532">
        <v>0</v>
      </c>
      <c r="J532" t="s">
        <v>50</v>
      </c>
      <c r="K532" t="s">
        <v>18</v>
      </c>
      <c r="L532" s="3">
        <f t="shared" si="16"/>
        <v>-69992.370944992945</v>
      </c>
      <c r="M532" s="3">
        <f t="shared" si="17"/>
        <v>4898931990.5014925</v>
      </c>
    </row>
    <row r="533" spans="1:13" customFormat="1">
      <c r="A533">
        <v>2022</v>
      </c>
      <c r="B533" t="s">
        <v>19</v>
      </c>
      <c r="C533" t="s">
        <v>14</v>
      </c>
      <c r="D533" t="s">
        <v>40</v>
      </c>
      <c r="E533">
        <v>150000</v>
      </c>
      <c r="F533" t="s">
        <v>16</v>
      </c>
      <c r="G533">
        <v>150000</v>
      </c>
      <c r="H533" t="s">
        <v>17</v>
      </c>
      <c r="I533">
        <v>100</v>
      </c>
      <c r="J533" t="s">
        <v>17</v>
      </c>
      <c r="K533" t="s">
        <v>31</v>
      </c>
      <c r="L533" s="3">
        <f t="shared" si="16"/>
        <v>43234.629055007055</v>
      </c>
      <c r="M533" s="3">
        <f t="shared" si="17"/>
        <v>1869233149.5240602</v>
      </c>
    </row>
    <row r="534" spans="1:13" customFormat="1">
      <c r="A534">
        <v>2022</v>
      </c>
      <c r="B534" t="s">
        <v>13</v>
      </c>
      <c r="C534" t="s">
        <v>14</v>
      </c>
      <c r="D534" t="s">
        <v>15</v>
      </c>
      <c r="E534">
        <v>144000</v>
      </c>
      <c r="F534" t="s">
        <v>16</v>
      </c>
      <c r="G534">
        <v>144000</v>
      </c>
      <c r="H534" t="s">
        <v>17</v>
      </c>
      <c r="I534">
        <v>100</v>
      </c>
      <c r="J534" t="s">
        <v>17</v>
      </c>
      <c r="K534" t="s">
        <v>18</v>
      </c>
      <c r="L534" s="3">
        <f t="shared" si="16"/>
        <v>37234.629055007055</v>
      </c>
      <c r="M534" s="3">
        <f t="shared" si="17"/>
        <v>1386417600.8639755</v>
      </c>
    </row>
    <row r="535" spans="1:13" customFormat="1">
      <c r="A535">
        <v>2022</v>
      </c>
      <c r="B535" t="s">
        <v>13</v>
      </c>
      <c r="C535" t="s">
        <v>14</v>
      </c>
      <c r="D535" t="s">
        <v>15</v>
      </c>
      <c r="E535">
        <v>113000</v>
      </c>
      <c r="F535" t="s">
        <v>16</v>
      </c>
      <c r="G535">
        <v>113000</v>
      </c>
      <c r="H535" t="s">
        <v>17</v>
      </c>
      <c r="I535">
        <v>100</v>
      </c>
      <c r="J535" t="s">
        <v>17</v>
      </c>
      <c r="K535" t="s">
        <v>18</v>
      </c>
      <c r="L535" s="3">
        <f t="shared" si="16"/>
        <v>6234.6290550070553</v>
      </c>
      <c r="M535" s="3">
        <f t="shared" si="17"/>
        <v>38870599.453538164</v>
      </c>
    </row>
    <row r="536" spans="1:13" customFormat="1">
      <c r="A536">
        <v>2022</v>
      </c>
      <c r="B536" t="s">
        <v>28</v>
      </c>
      <c r="C536" t="s">
        <v>14</v>
      </c>
      <c r="D536" t="s">
        <v>60</v>
      </c>
      <c r="E536">
        <v>633000</v>
      </c>
      <c r="F536" t="s">
        <v>52</v>
      </c>
      <c r="G536">
        <v>8050</v>
      </c>
      <c r="H536" t="s">
        <v>53</v>
      </c>
      <c r="I536">
        <v>100</v>
      </c>
      <c r="J536" t="s">
        <v>53</v>
      </c>
      <c r="K536" t="s">
        <v>18</v>
      </c>
      <c r="L536" s="3">
        <f t="shared" si="16"/>
        <v>-98715.370944992945</v>
      </c>
      <c r="M536" s="3">
        <f t="shared" si="17"/>
        <v>9744724460.8075581</v>
      </c>
    </row>
    <row r="537" spans="1:13" customFormat="1">
      <c r="A537">
        <v>2022</v>
      </c>
      <c r="B537" t="s">
        <v>28</v>
      </c>
      <c r="C537" t="s">
        <v>14</v>
      </c>
      <c r="D537" t="s">
        <v>40</v>
      </c>
      <c r="E537">
        <v>50000</v>
      </c>
      <c r="F537" t="s">
        <v>16</v>
      </c>
      <c r="G537">
        <v>50000</v>
      </c>
      <c r="H537" t="s">
        <v>53</v>
      </c>
      <c r="I537">
        <v>100</v>
      </c>
      <c r="J537" t="s">
        <v>85</v>
      </c>
      <c r="K537" t="s">
        <v>31</v>
      </c>
      <c r="L537" s="3">
        <f t="shared" si="16"/>
        <v>-56765.370944992945</v>
      </c>
      <c r="M537" s="3">
        <f t="shared" si="17"/>
        <v>3222307338.5226493</v>
      </c>
    </row>
    <row r="538" spans="1:13" customFormat="1">
      <c r="A538">
        <v>2022</v>
      </c>
      <c r="B538" t="s">
        <v>28</v>
      </c>
      <c r="C538" t="s">
        <v>14</v>
      </c>
      <c r="D538" t="s">
        <v>15</v>
      </c>
      <c r="E538">
        <v>40300</v>
      </c>
      <c r="F538" t="s">
        <v>58</v>
      </c>
      <c r="G538">
        <v>7799</v>
      </c>
      <c r="H538" t="s">
        <v>59</v>
      </c>
      <c r="I538">
        <v>100</v>
      </c>
      <c r="J538" t="s">
        <v>59</v>
      </c>
      <c r="K538" t="s">
        <v>31</v>
      </c>
      <c r="L538" s="3">
        <f t="shared" si="16"/>
        <v>-98966.370944992945</v>
      </c>
      <c r="M538" s="3">
        <f t="shared" si="17"/>
        <v>9794342578.021944</v>
      </c>
    </row>
    <row r="539" spans="1:13" customFormat="1">
      <c r="A539">
        <v>2022</v>
      </c>
      <c r="B539" t="s">
        <v>19</v>
      </c>
      <c r="C539" t="s">
        <v>14</v>
      </c>
      <c r="D539" t="s">
        <v>15</v>
      </c>
      <c r="E539">
        <v>136000</v>
      </c>
      <c r="F539" t="s">
        <v>16</v>
      </c>
      <c r="G539">
        <v>136000</v>
      </c>
      <c r="H539" t="s">
        <v>17</v>
      </c>
      <c r="I539">
        <v>100</v>
      </c>
      <c r="J539" t="s">
        <v>17</v>
      </c>
      <c r="K539" t="s">
        <v>18</v>
      </c>
      <c r="L539" s="3">
        <f t="shared" si="16"/>
        <v>29234.629055007055</v>
      </c>
      <c r="M539" s="3">
        <f t="shared" si="17"/>
        <v>854663535.98386276</v>
      </c>
    </row>
    <row r="540" spans="1:13" customFormat="1">
      <c r="A540">
        <v>2022</v>
      </c>
      <c r="B540" t="s">
        <v>19</v>
      </c>
      <c r="C540" t="s">
        <v>14</v>
      </c>
      <c r="D540" t="s">
        <v>15</v>
      </c>
      <c r="E540">
        <v>112000</v>
      </c>
      <c r="F540" t="s">
        <v>16</v>
      </c>
      <c r="G540">
        <v>112000</v>
      </c>
      <c r="H540" t="s">
        <v>17</v>
      </c>
      <c r="I540">
        <v>100</v>
      </c>
      <c r="J540" t="s">
        <v>17</v>
      </c>
      <c r="K540" t="s">
        <v>18</v>
      </c>
      <c r="L540" s="3">
        <f t="shared" si="16"/>
        <v>5234.6290550070553</v>
      </c>
      <c r="M540" s="3">
        <f t="shared" si="17"/>
        <v>27401341.343524057</v>
      </c>
    </row>
    <row r="541" spans="1:13" customFormat="1">
      <c r="A541">
        <v>2022</v>
      </c>
      <c r="B541" t="s">
        <v>19</v>
      </c>
      <c r="C541" t="s">
        <v>14</v>
      </c>
      <c r="D541" t="s">
        <v>15</v>
      </c>
      <c r="E541">
        <v>97500</v>
      </c>
      <c r="F541" t="s">
        <v>16</v>
      </c>
      <c r="G541">
        <v>97500</v>
      </c>
      <c r="H541" t="s">
        <v>17</v>
      </c>
      <c r="I541">
        <v>100</v>
      </c>
      <c r="J541" t="s">
        <v>17</v>
      </c>
      <c r="K541" t="s">
        <v>31</v>
      </c>
      <c r="L541" s="3">
        <f t="shared" si="16"/>
        <v>-9265.3709449929447</v>
      </c>
      <c r="M541" s="3">
        <f t="shared" si="17"/>
        <v>85847098.748319447</v>
      </c>
    </row>
    <row r="542" spans="1:13" customFormat="1">
      <c r="A542">
        <v>2022</v>
      </c>
      <c r="B542" t="s">
        <v>28</v>
      </c>
      <c r="C542" t="s">
        <v>14</v>
      </c>
      <c r="D542" t="s">
        <v>15</v>
      </c>
      <c r="E542">
        <v>500000</v>
      </c>
      <c r="F542" t="s">
        <v>52</v>
      </c>
      <c r="G542">
        <v>6359</v>
      </c>
      <c r="H542" t="s">
        <v>77</v>
      </c>
      <c r="I542">
        <v>100</v>
      </c>
      <c r="J542" t="s">
        <v>53</v>
      </c>
      <c r="K542" t="s">
        <v>31</v>
      </c>
      <c r="L542" s="3">
        <f t="shared" si="16"/>
        <v>-100406.37094499294</v>
      </c>
      <c r="M542" s="3">
        <f t="shared" si="17"/>
        <v>10081439326.343523</v>
      </c>
    </row>
    <row r="543" spans="1:13" customFormat="1">
      <c r="A543">
        <v>2022</v>
      </c>
      <c r="B543" t="s">
        <v>19</v>
      </c>
      <c r="C543" t="s">
        <v>14</v>
      </c>
      <c r="D543" t="s">
        <v>51</v>
      </c>
      <c r="E543">
        <v>75000</v>
      </c>
      <c r="F543" t="s">
        <v>16</v>
      </c>
      <c r="G543">
        <v>75000</v>
      </c>
      <c r="H543" t="s">
        <v>17</v>
      </c>
      <c r="I543">
        <v>0</v>
      </c>
      <c r="J543" t="s">
        <v>17</v>
      </c>
      <c r="K543" t="s">
        <v>18</v>
      </c>
      <c r="L543" s="3">
        <f t="shared" si="16"/>
        <v>-31765.370944992945</v>
      </c>
      <c r="M543" s="3">
        <f t="shared" si="17"/>
        <v>1009038791.2730019</v>
      </c>
    </row>
    <row r="544" spans="1:13" customFormat="1">
      <c r="A544">
        <v>2022</v>
      </c>
      <c r="B544" t="s">
        <v>13</v>
      </c>
      <c r="C544" t="s">
        <v>14</v>
      </c>
      <c r="D544" t="s">
        <v>15</v>
      </c>
      <c r="E544">
        <v>115000</v>
      </c>
      <c r="F544" t="s">
        <v>16</v>
      </c>
      <c r="G544">
        <v>115000</v>
      </c>
      <c r="H544" t="s">
        <v>17</v>
      </c>
      <c r="I544">
        <v>0</v>
      </c>
      <c r="J544" t="s">
        <v>17</v>
      </c>
      <c r="K544" t="s">
        <v>31</v>
      </c>
      <c r="L544" s="3">
        <f t="shared" si="16"/>
        <v>8234.6290550070553</v>
      </c>
      <c r="M544" s="3">
        <f t="shared" si="17"/>
        <v>67809115.673566386</v>
      </c>
    </row>
    <row r="545" spans="1:13" customFormat="1">
      <c r="A545">
        <v>2022</v>
      </c>
      <c r="B545" t="s">
        <v>13</v>
      </c>
      <c r="C545" t="s">
        <v>14</v>
      </c>
      <c r="D545" t="s">
        <v>80</v>
      </c>
      <c r="E545">
        <v>81000</v>
      </c>
      <c r="F545" t="s">
        <v>16</v>
      </c>
      <c r="G545">
        <v>81000</v>
      </c>
      <c r="H545" t="s">
        <v>17</v>
      </c>
      <c r="I545">
        <v>100</v>
      </c>
      <c r="J545" t="s">
        <v>17</v>
      </c>
      <c r="K545" t="s">
        <v>18</v>
      </c>
      <c r="L545" s="3">
        <f t="shared" si="16"/>
        <v>-25765.370944992945</v>
      </c>
      <c r="M545" s="3">
        <f t="shared" si="17"/>
        <v>663854339.93308663</v>
      </c>
    </row>
    <row r="546" spans="1:13" customFormat="1">
      <c r="A546">
        <v>2022</v>
      </c>
      <c r="B546" t="s">
        <v>13</v>
      </c>
      <c r="C546" t="s">
        <v>14</v>
      </c>
      <c r="D546" t="s">
        <v>80</v>
      </c>
      <c r="E546">
        <v>66000</v>
      </c>
      <c r="F546" t="s">
        <v>16</v>
      </c>
      <c r="G546">
        <v>66000</v>
      </c>
      <c r="H546" t="s">
        <v>17</v>
      </c>
      <c r="I546">
        <v>100</v>
      </c>
      <c r="J546" t="s">
        <v>17</v>
      </c>
      <c r="K546" t="s">
        <v>18</v>
      </c>
      <c r="L546" s="3">
        <f t="shared" si="16"/>
        <v>-40765.370944992945</v>
      </c>
      <c r="M546" s="3">
        <f t="shared" si="17"/>
        <v>1661815468.2828751</v>
      </c>
    </row>
    <row r="547" spans="1:13" customFormat="1">
      <c r="A547">
        <v>2022</v>
      </c>
      <c r="B547" t="s">
        <v>28</v>
      </c>
      <c r="C547" t="s">
        <v>14</v>
      </c>
      <c r="D547" t="s">
        <v>15</v>
      </c>
      <c r="E547">
        <v>46000</v>
      </c>
      <c r="F547" t="s">
        <v>16</v>
      </c>
      <c r="G547">
        <v>46000</v>
      </c>
      <c r="H547" t="s">
        <v>17</v>
      </c>
      <c r="I547">
        <v>100</v>
      </c>
      <c r="J547" t="s">
        <v>17</v>
      </c>
      <c r="K547" t="s">
        <v>31</v>
      </c>
      <c r="L547" s="3">
        <f t="shared" si="16"/>
        <v>-60765.370944992945</v>
      </c>
      <c r="M547" s="3">
        <f t="shared" si="17"/>
        <v>3692430306.082593</v>
      </c>
    </row>
    <row r="548" spans="1:13" customFormat="1">
      <c r="A548">
        <v>2022</v>
      </c>
      <c r="B548" t="s">
        <v>19</v>
      </c>
      <c r="C548" t="s">
        <v>14</v>
      </c>
      <c r="D548" t="s">
        <v>15</v>
      </c>
      <c r="E548">
        <v>113000</v>
      </c>
      <c r="F548" t="s">
        <v>16</v>
      </c>
      <c r="G548">
        <v>113000</v>
      </c>
      <c r="H548" t="s">
        <v>17</v>
      </c>
      <c r="I548">
        <v>0</v>
      </c>
      <c r="J548" t="s">
        <v>17</v>
      </c>
      <c r="K548" t="s">
        <v>31</v>
      </c>
      <c r="L548" s="3">
        <f t="shared" si="16"/>
        <v>6234.6290550070553</v>
      </c>
      <c r="M548" s="3">
        <f t="shared" si="17"/>
        <v>38870599.453538164</v>
      </c>
    </row>
    <row r="549" spans="1:13" customFormat="1">
      <c r="A549">
        <v>2022</v>
      </c>
      <c r="B549" t="s">
        <v>19</v>
      </c>
      <c r="C549" t="s">
        <v>14</v>
      </c>
      <c r="D549" t="s">
        <v>75</v>
      </c>
      <c r="E549">
        <v>113000</v>
      </c>
      <c r="F549" t="s">
        <v>16</v>
      </c>
      <c r="G549">
        <v>113000</v>
      </c>
      <c r="H549" t="s">
        <v>17</v>
      </c>
      <c r="I549">
        <v>100</v>
      </c>
      <c r="J549" t="s">
        <v>17</v>
      </c>
      <c r="K549" t="s">
        <v>31</v>
      </c>
      <c r="L549" s="3">
        <f t="shared" si="16"/>
        <v>6234.6290550070553</v>
      </c>
      <c r="M549" s="3">
        <f t="shared" si="17"/>
        <v>38870599.453538164</v>
      </c>
    </row>
    <row r="550" spans="1:13" customFormat="1">
      <c r="A550">
        <v>2022</v>
      </c>
      <c r="B550" t="s">
        <v>19</v>
      </c>
      <c r="C550" t="s">
        <v>14</v>
      </c>
      <c r="D550" t="s">
        <v>67</v>
      </c>
      <c r="E550">
        <v>140000</v>
      </c>
      <c r="F550" t="s">
        <v>16</v>
      </c>
      <c r="G550">
        <v>140000</v>
      </c>
      <c r="H550" t="s">
        <v>17</v>
      </c>
      <c r="I550">
        <v>100</v>
      </c>
      <c r="J550" t="s">
        <v>17</v>
      </c>
      <c r="K550" t="s">
        <v>18</v>
      </c>
      <c r="L550" s="3">
        <f t="shared" si="16"/>
        <v>33234.629055007055</v>
      </c>
      <c r="M550" s="3">
        <f t="shared" si="17"/>
        <v>1104540568.4239192</v>
      </c>
    </row>
    <row r="551" spans="1:13" customFormat="1">
      <c r="A551">
        <v>2021</v>
      </c>
      <c r="B551" t="s">
        <v>13</v>
      </c>
      <c r="C551" t="s">
        <v>14</v>
      </c>
      <c r="D551" t="s">
        <v>15</v>
      </c>
      <c r="E551">
        <v>50000</v>
      </c>
      <c r="F551" t="s">
        <v>16</v>
      </c>
      <c r="G551">
        <v>50000</v>
      </c>
      <c r="H551" t="s">
        <v>86</v>
      </c>
      <c r="I551">
        <v>100</v>
      </c>
      <c r="J551" t="s">
        <v>86</v>
      </c>
      <c r="K551" t="s">
        <v>57</v>
      </c>
      <c r="L551" s="3">
        <f t="shared" si="16"/>
        <v>-56765.370944992945</v>
      </c>
      <c r="M551" s="3">
        <f t="shared" si="17"/>
        <v>3222307338.5226493</v>
      </c>
    </row>
    <row r="552" spans="1:13" customFormat="1">
      <c r="A552">
        <v>2022</v>
      </c>
      <c r="B552" t="s">
        <v>19</v>
      </c>
      <c r="C552" t="s">
        <v>14</v>
      </c>
      <c r="D552" t="s">
        <v>60</v>
      </c>
      <c r="E552">
        <v>77000</v>
      </c>
      <c r="F552" t="s">
        <v>83</v>
      </c>
      <c r="G552">
        <v>53368</v>
      </c>
      <c r="H552" t="s">
        <v>73</v>
      </c>
      <c r="I552">
        <v>100</v>
      </c>
      <c r="J552" t="s">
        <v>73</v>
      </c>
      <c r="K552" t="s">
        <v>18</v>
      </c>
      <c r="L552" s="3">
        <f t="shared" si="16"/>
        <v>-53397.370944992945</v>
      </c>
      <c r="M552" s="3">
        <f t="shared" si="17"/>
        <v>2851279223.8371768</v>
      </c>
    </row>
    <row r="553" spans="1:13" customFormat="1">
      <c r="A553">
        <v>2022</v>
      </c>
      <c r="B553" t="s">
        <v>28</v>
      </c>
      <c r="C553" t="s">
        <v>14</v>
      </c>
      <c r="D553" t="s">
        <v>60</v>
      </c>
      <c r="E553">
        <v>32400</v>
      </c>
      <c r="F553" t="s">
        <v>58</v>
      </c>
      <c r="G553">
        <v>6270</v>
      </c>
      <c r="H553" t="s">
        <v>59</v>
      </c>
      <c r="I553">
        <v>100</v>
      </c>
      <c r="J553" t="s">
        <v>59</v>
      </c>
      <c r="K553" t="s">
        <v>31</v>
      </c>
      <c r="L553" s="3">
        <f t="shared" si="16"/>
        <v>-100495.37094499294</v>
      </c>
      <c r="M553" s="3">
        <f t="shared" si="17"/>
        <v>10099319581.371733</v>
      </c>
    </row>
    <row r="554" spans="1:13" customFormat="1">
      <c r="A554">
        <v>2022</v>
      </c>
      <c r="B554" t="s">
        <v>13</v>
      </c>
      <c r="C554" t="s">
        <v>14</v>
      </c>
      <c r="D554" t="s">
        <v>15</v>
      </c>
      <c r="E554">
        <v>216200</v>
      </c>
      <c r="F554" t="s">
        <v>16</v>
      </c>
      <c r="G554">
        <v>216200</v>
      </c>
      <c r="H554" t="s">
        <v>17</v>
      </c>
      <c r="I554">
        <v>0</v>
      </c>
      <c r="J554" t="s">
        <v>17</v>
      </c>
      <c r="K554" t="s">
        <v>18</v>
      </c>
      <c r="L554" s="3">
        <f t="shared" si="16"/>
        <v>109434.62905500706</v>
      </c>
      <c r="M554" s="3">
        <f t="shared" si="17"/>
        <v>11975938036.406994</v>
      </c>
    </row>
    <row r="555" spans="1:13" customFormat="1">
      <c r="A555">
        <v>2022</v>
      </c>
      <c r="B555" t="s">
        <v>13</v>
      </c>
      <c r="C555" t="s">
        <v>14</v>
      </c>
      <c r="D555" t="s">
        <v>15</v>
      </c>
      <c r="E555">
        <v>144100</v>
      </c>
      <c r="F555" t="s">
        <v>16</v>
      </c>
      <c r="G555">
        <v>144100</v>
      </c>
      <c r="H555" t="s">
        <v>17</v>
      </c>
      <c r="I555">
        <v>0</v>
      </c>
      <c r="J555" t="s">
        <v>17</v>
      </c>
      <c r="K555" t="s">
        <v>18</v>
      </c>
      <c r="L555" s="3">
        <f t="shared" si="16"/>
        <v>37334.629055007055</v>
      </c>
      <c r="M555" s="3">
        <f t="shared" si="17"/>
        <v>1393874526.6749771</v>
      </c>
    </row>
    <row r="556" spans="1:13" customFormat="1">
      <c r="A556">
        <v>2022</v>
      </c>
      <c r="B556" t="s">
        <v>13</v>
      </c>
      <c r="C556" t="s">
        <v>14</v>
      </c>
      <c r="D556" t="s">
        <v>15</v>
      </c>
      <c r="E556">
        <v>117000</v>
      </c>
      <c r="F556" t="s">
        <v>16</v>
      </c>
      <c r="G556">
        <v>117000</v>
      </c>
      <c r="H556" t="s">
        <v>17</v>
      </c>
      <c r="I556">
        <v>100</v>
      </c>
      <c r="J556" t="s">
        <v>17</v>
      </c>
      <c r="K556" t="s">
        <v>18</v>
      </c>
      <c r="L556" s="3">
        <f t="shared" si="16"/>
        <v>10234.629055007055</v>
      </c>
      <c r="M556" s="3">
        <f t="shared" si="17"/>
        <v>104747631.89359461</v>
      </c>
    </row>
    <row r="557" spans="1:13" customFormat="1">
      <c r="A557">
        <v>2022</v>
      </c>
      <c r="B557" t="s">
        <v>13</v>
      </c>
      <c r="C557" t="s">
        <v>14</v>
      </c>
      <c r="D557" t="s">
        <v>15</v>
      </c>
      <c r="E557">
        <v>99450</v>
      </c>
      <c r="F557" t="s">
        <v>16</v>
      </c>
      <c r="G557">
        <v>99450</v>
      </c>
      <c r="H557" t="s">
        <v>17</v>
      </c>
      <c r="I557">
        <v>100</v>
      </c>
      <c r="J557" t="s">
        <v>17</v>
      </c>
      <c r="K557" t="s">
        <v>18</v>
      </c>
      <c r="L557" s="3">
        <f t="shared" si="16"/>
        <v>-7315.3709449929447</v>
      </c>
      <c r="M557" s="3">
        <f t="shared" si="17"/>
        <v>53514652.062846966</v>
      </c>
    </row>
    <row r="558" spans="1:13" customFormat="1">
      <c r="A558">
        <v>2022</v>
      </c>
      <c r="B558" t="s">
        <v>13</v>
      </c>
      <c r="C558" t="s">
        <v>14</v>
      </c>
      <c r="D558" t="s">
        <v>15</v>
      </c>
      <c r="E558">
        <v>70000</v>
      </c>
      <c r="F558" t="s">
        <v>41</v>
      </c>
      <c r="G558">
        <v>86193</v>
      </c>
      <c r="H558" t="s">
        <v>42</v>
      </c>
      <c r="I558">
        <v>0</v>
      </c>
      <c r="J558" t="s">
        <v>42</v>
      </c>
      <c r="K558" t="s">
        <v>18</v>
      </c>
      <c r="L558" s="3">
        <f t="shared" si="16"/>
        <v>-20572.370944992945</v>
      </c>
      <c r="M558" s="3">
        <f t="shared" si="17"/>
        <v>423222446.29838991</v>
      </c>
    </row>
    <row r="559" spans="1:13" customFormat="1">
      <c r="A559">
        <v>2022</v>
      </c>
      <c r="B559" t="s">
        <v>13</v>
      </c>
      <c r="C559" t="s">
        <v>14</v>
      </c>
      <c r="D559" t="s">
        <v>15</v>
      </c>
      <c r="E559">
        <v>50000</v>
      </c>
      <c r="F559" t="s">
        <v>41</v>
      </c>
      <c r="G559">
        <v>61566</v>
      </c>
      <c r="H559" t="s">
        <v>42</v>
      </c>
      <c r="I559">
        <v>0</v>
      </c>
      <c r="J559" t="s">
        <v>42</v>
      </c>
      <c r="K559" t="s">
        <v>18</v>
      </c>
      <c r="L559" s="3">
        <f t="shared" si="16"/>
        <v>-45199.370944992945</v>
      </c>
      <c r="M559" s="3">
        <f t="shared" si="17"/>
        <v>2042983133.8230724</v>
      </c>
    </row>
    <row r="560" spans="1:13" customFormat="1">
      <c r="A560">
        <v>2022</v>
      </c>
      <c r="B560" t="s">
        <v>13</v>
      </c>
      <c r="C560" t="s">
        <v>14</v>
      </c>
      <c r="D560" t="s">
        <v>15</v>
      </c>
      <c r="E560">
        <v>175000</v>
      </c>
      <c r="F560" t="s">
        <v>16</v>
      </c>
      <c r="G560">
        <v>175000</v>
      </c>
      <c r="H560" t="s">
        <v>17</v>
      </c>
      <c r="I560">
        <v>100</v>
      </c>
      <c r="J560" t="s">
        <v>17</v>
      </c>
      <c r="K560" t="s">
        <v>18</v>
      </c>
      <c r="L560" s="3">
        <f t="shared" si="16"/>
        <v>68234.629055007055</v>
      </c>
      <c r="M560" s="3">
        <f t="shared" si="17"/>
        <v>4655964602.2744131</v>
      </c>
    </row>
    <row r="561" spans="1:13" customFormat="1">
      <c r="A561">
        <v>2022</v>
      </c>
      <c r="B561" t="s">
        <v>13</v>
      </c>
      <c r="C561" t="s">
        <v>14</v>
      </c>
      <c r="D561" t="s">
        <v>15</v>
      </c>
      <c r="E561">
        <v>130000</v>
      </c>
      <c r="F561" t="s">
        <v>16</v>
      </c>
      <c r="G561">
        <v>130000</v>
      </c>
      <c r="H561" t="s">
        <v>17</v>
      </c>
      <c r="I561">
        <v>100</v>
      </c>
      <c r="J561" t="s">
        <v>17</v>
      </c>
      <c r="K561" t="s">
        <v>18</v>
      </c>
      <c r="L561" s="3">
        <f t="shared" si="16"/>
        <v>23234.629055007055</v>
      </c>
      <c r="M561" s="3">
        <f t="shared" si="17"/>
        <v>539847987.32377803</v>
      </c>
    </row>
    <row r="562" spans="1:13" customFormat="1">
      <c r="A562">
        <v>2022</v>
      </c>
      <c r="B562" t="s">
        <v>19</v>
      </c>
      <c r="C562" t="s">
        <v>14</v>
      </c>
      <c r="D562" t="s">
        <v>15</v>
      </c>
      <c r="E562">
        <v>450000</v>
      </c>
      <c r="F562" t="s">
        <v>52</v>
      </c>
      <c r="G562">
        <v>5723</v>
      </c>
      <c r="H562" t="s">
        <v>53</v>
      </c>
      <c r="I562">
        <v>100</v>
      </c>
      <c r="J562" t="s">
        <v>53</v>
      </c>
      <c r="K562" t="s">
        <v>57</v>
      </c>
      <c r="L562" s="3">
        <f t="shared" si="16"/>
        <v>-101042.37094499294</v>
      </c>
      <c r="M562" s="3">
        <f t="shared" si="17"/>
        <v>10209560726.185555</v>
      </c>
    </row>
    <row r="563" spans="1:13" customFormat="1">
      <c r="A563">
        <v>2022</v>
      </c>
      <c r="B563" t="s">
        <v>19</v>
      </c>
      <c r="C563" t="s">
        <v>14</v>
      </c>
      <c r="D563" t="s">
        <v>60</v>
      </c>
      <c r="E563">
        <v>48000</v>
      </c>
      <c r="F563" t="s">
        <v>49</v>
      </c>
      <c r="G563">
        <v>50432</v>
      </c>
      <c r="H563" t="s">
        <v>61</v>
      </c>
      <c r="I563">
        <v>100</v>
      </c>
      <c r="J563" t="s">
        <v>61</v>
      </c>
      <c r="K563" t="s">
        <v>57</v>
      </c>
      <c r="L563" s="3">
        <f t="shared" si="16"/>
        <v>-56333.370944992945</v>
      </c>
      <c r="M563" s="3">
        <f t="shared" si="17"/>
        <v>3173448682.0261755</v>
      </c>
    </row>
    <row r="564" spans="1:13" customFormat="1">
      <c r="A564">
        <v>2022</v>
      </c>
      <c r="B564" t="s">
        <v>28</v>
      </c>
      <c r="C564" t="s">
        <v>14</v>
      </c>
      <c r="D564" t="s">
        <v>15</v>
      </c>
      <c r="E564">
        <v>50000</v>
      </c>
      <c r="F564" t="s">
        <v>16</v>
      </c>
      <c r="G564">
        <v>50000</v>
      </c>
      <c r="H564" t="s">
        <v>68</v>
      </c>
      <c r="I564">
        <v>100</v>
      </c>
      <c r="J564" t="s">
        <v>68</v>
      </c>
      <c r="K564" t="s">
        <v>31</v>
      </c>
      <c r="L564" s="3">
        <f t="shared" si="16"/>
        <v>-56765.370944992945</v>
      </c>
      <c r="M564" s="3">
        <f t="shared" si="17"/>
        <v>3222307338.5226493</v>
      </c>
    </row>
    <row r="565" spans="1:13" customFormat="1">
      <c r="A565">
        <v>2022</v>
      </c>
      <c r="B565" t="s">
        <v>19</v>
      </c>
      <c r="C565" t="s">
        <v>14</v>
      </c>
      <c r="D565" t="s">
        <v>15</v>
      </c>
      <c r="E565">
        <v>216200</v>
      </c>
      <c r="F565" t="s">
        <v>16</v>
      </c>
      <c r="G565">
        <v>216200</v>
      </c>
      <c r="H565" t="s">
        <v>17</v>
      </c>
      <c r="I565">
        <v>0</v>
      </c>
      <c r="J565" t="s">
        <v>17</v>
      </c>
      <c r="K565" t="s">
        <v>18</v>
      </c>
      <c r="L565" s="3">
        <f t="shared" si="16"/>
        <v>109434.62905500706</v>
      </c>
      <c r="M565" s="3">
        <f t="shared" si="17"/>
        <v>11975938036.406994</v>
      </c>
    </row>
    <row r="566" spans="1:13" customFormat="1">
      <c r="A566">
        <v>2022</v>
      </c>
      <c r="B566" t="s">
        <v>19</v>
      </c>
      <c r="C566" t="s">
        <v>14</v>
      </c>
      <c r="D566" t="s">
        <v>15</v>
      </c>
      <c r="E566">
        <v>144100</v>
      </c>
      <c r="F566" t="s">
        <v>16</v>
      </c>
      <c r="G566">
        <v>144100</v>
      </c>
      <c r="H566" t="s">
        <v>17</v>
      </c>
      <c r="I566">
        <v>0</v>
      </c>
      <c r="J566" t="s">
        <v>17</v>
      </c>
      <c r="K566" t="s">
        <v>18</v>
      </c>
      <c r="L566" s="3">
        <f t="shared" si="16"/>
        <v>37334.629055007055</v>
      </c>
      <c r="M566" s="3">
        <f t="shared" si="17"/>
        <v>1393874526.6749771</v>
      </c>
    </row>
    <row r="567" spans="1:13" customFormat="1">
      <c r="A567">
        <v>2022</v>
      </c>
      <c r="B567" t="s">
        <v>28</v>
      </c>
      <c r="C567" t="s">
        <v>14</v>
      </c>
      <c r="D567" t="s">
        <v>15</v>
      </c>
      <c r="E567">
        <v>150000</v>
      </c>
      <c r="F567" t="s">
        <v>16</v>
      </c>
      <c r="G567">
        <v>150000</v>
      </c>
      <c r="H567" t="s">
        <v>17</v>
      </c>
      <c r="I567">
        <v>100</v>
      </c>
      <c r="J567" t="s">
        <v>17</v>
      </c>
      <c r="K567" t="s">
        <v>31</v>
      </c>
      <c r="L567" s="3">
        <f t="shared" si="16"/>
        <v>43234.629055007055</v>
      </c>
      <c r="M567" s="3">
        <f t="shared" si="17"/>
        <v>1869233149.5240602</v>
      </c>
    </row>
    <row r="568" spans="1:13" customFormat="1">
      <c r="A568">
        <v>2022</v>
      </c>
      <c r="B568" t="s">
        <v>28</v>
      </c>
      <c r="C568" t="s">
        <v>14</v>
      </c>
      <c r="D568" t="s">
        <v>15</v>
      </c>
      <c r="E568">
        <v>55000</v>
      </c>
      <c r="F568" t="s">
        <v>16</v>
      </c>
      <c r="G568">
        <v>55000</v>
      </c>
      <c r="H568" t="s">
        <v>17</v>
      </c>
      <c r="I568">
        <v>100</v>
      </c>
      <c r="J568" t="s">
        <v>17</v>
      </c>
      <c r="K568" t="s">
        <v>57</v>
      </c>
      <c r="L568" s="3">
        <f t="shared" si="16"/>
        <v>-51765.370944992945</v>
      </c>
      <c r="M568" s="3">
        <f t="shared" si="17"/>
        <v>2679653629.0727196</v>
      </c>
    </row>
    <row r="569" spans="1:13" customFormat="1">
      <c r="A569">
        <v>2022</v>
      </c>
      <c r="B569" t="s">
        <v>19</v>
      </c>
      <c r="C569" t="s">
        <v>14</v>
      </c>
      <c r="D569" t="s">
        <v>15</v>
      </c>
      <c r="E569">
        <v>130000</v>
      </c>
      <c r="F569" t="s">
        <v>16</v>
      </c>
      <c r="G569">
        <v>130000</v>
      </c>
      <c r="H569" t="s">
        <v>17</v>
      </c>
      <c r="I569">
        <v>100</v>
      </c>
      <c r="J569" t="s">
        <v>17</v>
      </c>
      <c r="K569" t="s">
        <v>18</v>
      </c>
      <c r="L569" s="3">
        <f t="shared" si="16"/>
        <v>23234.629055007055</v>
      </c>
      <c r="M569" s="3">
        <f t="shared" si="17"/>
        <v>539847987.32377803</v>
      </c>
    </row>
    <row r="570" spans="1:13" customFormat="1">
      <c r="A570">
        <v>2022</v>
      </c>
      <c r="B570" t="s">
        <v>28</v>
      </c>
      <c r="C570" t="s">
        <v>14</v>
      </c>
      <c r="D570" t="s">
        <v>15</v>
      </c>
      <c r="E570">
        <v>27000</v>
      </c>
      <c r="F570" t="s">
        <v>49</v>
      </c>
      <c r="G570">
        <v>28368</v>
      </c>
      <c r="H570" t="s">
        <v>77</v>
      </c>
      <c r="I570">
        <v>50</v>
      </c>
      <c r="J570" t="s">
        <v>77</v>
      </c>
      <c r="K570" t="s">
        <v>18</v>
      </c>
      <c r="L570" s="3">
        <f t="shared" si="16"/>
        <v>-78397.370944992945</v>
      </c>
      <c r="M570" s="3">
        <f t="shared" si="17"/>
        <v>6146147771.0868244</v>
      </c>
    </row>
    <row r="571" spans="1:13" customFormat="1">
      <c r="A571">
        <v>2022</v>
      </c>
      <c r="B571" t="s">
        <v>13</v>
      </c>
      <c r="C571" t="s">
        <v>14</v>
      </c>
      <c r="D571" t="s">
        <v>15</v>
      </c>
      <c r="E571">
        <v>128875</v>
      </c>
      <c r="F571" t="s">
        <v>16</v>
      </c>
      <c r="G571">
        <v>128875</v>
      </c>
      <c r="H571" t="s">
        <v>17</v>
      </c>
      <c r="I571">
        <v>100</v>
      </c>
      <c r="J571" t="s">
        <v>17</v>
      </c>
      <c r="K571" t="s">
        <v>18</v>
      </c>
      <c r="L571" s="3">
        <f t="shared" si="16"/>
        <v>22109.629055007055</v>
      </c>
      <c r="M571" s="3">
        <f t="shared" si="17"/>
        <v>488835696.95001215</v>
      </c>
    </row>
    <row r="572" spans="1:13" customFormat="1">
      <c r="A572">
        <v>2022</v>
      </c>
      <c r="B572" t="s">
        <v>13</v>
      </c>
      <c r="C572" t="s">
        <v>14</v>
      </c>
      <c r="D572" t="s">
        <v>15</v>
      </c>
      <c r="E572">
        <v>93700</v>
      </c>
      <c r="F572" t="s">
        <v>16</v>
      </c>
      <c r="G572">
        <v>93700</v>
      </c>
      <c r="H572" t="s">
        <v>17</v>
      </c>
      <c r="I572">
        <v>100</v>
      </c>
      <c r="J572" t="s">
        <v>17</v>
      </c>
      <c r="K572" t="s">
        <v>18</v>
      </c>
      <c r="L572" s="3">
        <f t="shared" si="16"/>
        <v>-13065.370944992945</v>
      </c>
      <c r="M572" s="3">
        <f t="shared" si="17"/>
        <v>170703917.93026584</v>
      </c>
    </row>
    <row r="573" spans="1:13" customFormat="1">
      <c r="A573">
        <v>2022</v>
      </c>
      <c r="B573" t="s">
        <v>13</v>
      </c>
      <c r="C573" t="s">
        <v>14</v>
      </c>
      <c r="D573" t="s">
        <v>15</v>
      </c>
      <c r="E573">
        <v>136260</v>
      </c>
      <c r="F573" t="s">
        <v>16</v>
      </c>
      <c r="G573">
        <v>136260</v>
      </c>
      <c r="H573" t="s">
        <v>17</v>
      </c>
      <c r="I573">
        <v>100</v>
      </c>
      <c r="J573" t="s">
        <v>17</v>
      </c>
      <c r="K573" t="s">
        <v>18</v>
      </c>
      <c r="L573" s="3">
        <f t="shared" si="16"/>
        <v>29494.629055007055</v>
      </c>
      <c r="M573" s="3">
        <f t="shared" si="17"/>
        <v>869933143.09246635</v>
      </c>
    </row>
    <row r="574" spans="1:13" customFormat="1">
      <c r="A574">
        <v>2022</v>
      </c>
      <c r="B574" t="s">
        <v>13</v>
      </c>
      <c r="C574" t="s">
        <v>14</v>
      </c>
      <c r="D574" t="s">
        <v>15</v>
      </c>
      <c r="E574">
        <v>109280</v>
      </c>
      <c r="F574" t="s">
        <v>16</v>
      </c>
      <c r="G574">
        <v>109280</v>
      </c>
      <c r="H574" t="s">
        <v>17</v>
      </c>
      <c r="I574">
        <v>100</v>
      </c>
      <c r="J574" t="s">
        <v>17</v>
      </c>
      <c r="K574" t="s">
        <v>18</v>
      </c>
      <c r="L574" s="3">
        <f t="shared" si="16"/>
        <v>2514.6290550070553</v>
      </c>
      <c r="M574" s="3">
        <f t="shared" si="17"/>
        <v>6323359.2842856757</v>
      </c>
    </row>
    <row r="575" spans="1:13" customFormat="1">
      <c r="A575">
        <v>2022</v>
      </c>
      <c r="B575" t="s">
        <v>13</v>
      </c>
      <c r="C575" t="s">
        <v>14</v>
      </c>
      <c r="D575" t="s">
        <v>15</v>
      </c>
      <c r="E575">
        <v>117000</v>
      </c>
      <c r="F575" t="s">
        <v>16</v>
      </c>
      <c r="G575">
        <v>117000</v>
      </c>
      <c r="H575" t="s">
        <v>17</v>
      </c>
      <c r="I575">
        <v>100</v>
      </c>
      <c r="J575" t="s">
        <v>17</v>
      </c>
      <c r="K575" t="s">
        <v>18</v>
      </c>
      <c r="L575" s="3">
        <f t="shared" si="16"/>
        <v>10234.629055007055</v>
      </c>
      <c r="M575" s="3">
        <f t="shared" si="17"/>
        <v>104747631.89359461</v>
      </c>
    </row>
    <row r="576" spans="1:13" customFormat="1">
      <c r="A576">
        <v>2022</v>
      </c>
      <c r="B576" t="s">
        <v>13</v>
      </c>
      <c r="C576" t="s">
        <v>14</v>
      </c>
      <c r="D576" t="s">
        <v>15</v>
      </c>
      <c r="E576">
        <v>99450</v>
      </c>
      <c r="F576" t="s">
        <v>16</v>
      </c>
      <c r="G576">
        <v>99450</v>
      </c>
      <c r="H576" t="s">
        <v>17</v>
      </c>
      <c r="I576">
        <v>100</v>
      </c>
      <c r="J576" t="s">
        <v>17</v>
      </c>
      <c r="K576" t="s">
        <v>18</v>
      </c>
      <c r="L576" s="3">
        <f t="shared" si="16"/>
        <v>-7315.3709449929447</v>
      </c>
      <c r="M576" s="3">
        <f t="shared" si="17"/>
        <v>53514652.062846966</v>
      </c>
    </row>
    <row r="577" spans="1:13" customFormat="1">
      <c r="A577">
        <v>2022</v>
      </c>
      <c r="B577" t="s">
        <v>13</v>
      </c>
      <c r="C577" t="s">
        <v>14</v>
      </c>
      <c r="D577" t="s">
        <v>40</v>
      </c>
      <c r="E577">
        <v>100000</v>
      </c>
      <c r="F577" t="s">
        <v>16</v>
      </c>
      <c r="G577">
        <v>100000</v>
      </c>
      <c r="H577" t="s">
        <v>17</v>
      </c>
      <c r="I577">
        <v>100</v>
      </c>
      <c r="J577" t="s">
        <v>17</v>
      </c>
      <c r="K577" t="s">
        <v>31</v>
      </c>
      <c r="L577" s="3">
        <f t="shared" si="16"/>
        <v>-6765.3709449929447</v>
      </c>
      <c r="M577" s="3">
        <f t="shared" si="17"/>
        <v>45770244.023354732</v>
      </c>
    </row>
    <row r="578" spans="1:13" customFormat="1">
      <c r="A578">
        <v>2022</v>
      </c>
      <c r="B578" t="s">
        <v>19</v>
      </c>
      <c r="C578" t="s">
        <v>14</v>
      </c>
      <c r="D578" t="s">
        <v>15</v>
      </c>
      <c r="E578">
        <v>90000</v>
      </c>
      <c r="F578" t="s">
        <v>87</v>
      </c>
      <c r="G578">
        <v>65257</v>
      </c>
      <c r="H578" t="s">
        <v>71</v>
      </c>
      <c r="I578">
        <v>50</v>
      </c>
      <c r="J578" t="s">
        <v>71</v>
      </c>
      <c r="K578" t="s">
        <v>18</v>
      </c>
      <c r="L578" s="3">
        <f t="shared" si="16"/>
        <v>-41508.370944992945</v>
      </c>
      <c r="M578" s="3">
        <f t="shared" si="17"/>
        <v>1722944858.5071344</v>
      </c>
    </row>
    <row r="579" spans="1:13" customFormat="1">
      <c r="A579">
        <v>2022</v>
      </c>
      <c r="B579" t="s">
        <v>13</v>
      </c>
      <c r="C579" t="s">
        <v>14</v>
      </c>
      <c r="D579" t="s">
        <v>15</v>
      </c>
      <c r="E579">
        <v>150075</v>
      </c>
      <c r="F579" t="s">
        <v>16</v>
      </c>
      <c r="G579">
        <v>150075</v>
      </c>
      <c r="H579" t="s">
        <v>17</v>
      </c>
      <c r="I579">
        <v>100</v>
      </c>
      <c r="J579" t="s">
        <v>17</v>
      </c>
      <c r="K579" t="s">
        <v>18</v>
      </c>
      <c r="L579" s="3">
        <f t="shared" ref="L579:L642" si="18">G579-$P$5</f>
        <v>43309.629055007055</v>
      </c>
      <c r="M579" s="3">
        <f t="shared" ref="M579:M642" si="19">L579^2</f>
        <v>1875723968.8823113</v>
      </c>
    </row>
    <row r="580" spans="1:13" customFormat="1">
      <c r="A580">
        <v>2022</v>
      </c>
      <c r="B580" t="s">
        <v>13</v>
      </c>
      <c r="C580" t="s">
        <v>14</v>
      </c>
      <c r="D580" t="s">
        <v>15</v>
      </c>
      <c r="E580">
        <v>110925</v>
      </c>
      <c r="F580" t="s">
        <v>16</v>
      </c>
      <c r="G580">
        <v>110925</v>
      </c>
      <c r="H580" t="s">
        <v>17</v>
      </c>
      <c r="I580">
        <v>100</v>
      </c>
      <c r="J580" t="s">
        <v>17</v>
      </c>
      <c r="K580" t="s">
        <v>18</v>
      </c>
      <c r="L580" s="3">
        <f t="shared" si="18"/>
        <v>4159.6290550070553</v>
      </c>
      <c r="M580" s="3">
        <f t="shared" si="19"/>
        <v>17302513.875258889</v>
      </c>
    </row>
    <row r="581" spans="1:13" customFormat="1">
      <c r="A581">
        <v>2020</v>
      </c>
      <c r="B581" t="s">
        <v>28</v>
      </c>
      <c r="C581" t="s">
        <v>14</v>
      </c>
      <c r="D581" t="s">
        <v>15</v>
      </c>
      <c r="E581">
        <v>20000</v>
      </c>
      <c r="F581" t="s">
        <v>49</v>
      </c>
      <c r="G581">
        <v>22809</v>
      </c>
      <c r="H581" t="s">
        <v>56</v>
      </c>
      <c r="I581">
        <v>100</v>
      </c>
      <c r="J581" t="s">
        <v>56</v>
      </c>
      <c r="K581" t="s">
        <v>18</v>
      </c>
      <c r="L581" s="3">
        <f t="shared" si="18"/>
        <v>-83956.370944992945</v>
      </c>
      <c r="M581" s="3">
        <f t="shared" si="19"/>
        <v>7048672222.2532558</v>
      </c>
    </row>
    <row r="582" spans="1:13" customFormat="1">
      <c r="A582">
        <v>2022</v>
      </c>
      <c r="B582" t="s">
        <v>28</v>
      </c>
      <c r="C582" t="s">
        <v>14</v>
      </c>
      <c r="D582" t="s">
        <v>15</v>
      </c>
      <c r="E582">
        <v>15000</v>
      </c>
      <c r="F582" t="s">
        <v>16</v>
      </c>
      <c r="G582">
        <v>15000</v>
      </c>
      <c r="H582" t="s">
        <v>88</v>
      </c>
      <c r="I582">
        <v>0</v>
      </c>
      <c r="J582" t="s">
        <v>88</v>
      </c>
      <c r="K582" t="s">
        <v>31</v>
      </c>
      <c r="L582" s="3">
        <f t="shared" si="18"/>
        <v>-91765.370944992945</v>
      </c>
      <c r="M582" s="3">
        <f t="shared" si="19"/>
        <v>8420883304.6721554</v>
      </c>
    </row>
    <row r="583" spans="1:13" customFormat="1">
      <c r="A583">
        <v>2022</v>
      </c>
      <c r="B583" t="s">
        <v>13</v>
      </c>
      <c r="C583" t="s">
        <v>14</v>
      </c>
      <c r="D583" t="s">
        <v>15</v>
      </c>
      <c r="E583">
        <v>112900</v>
      </c>
      <c r="F583" t="s">
        <v>16</v>
      </c>
      <c r="G583">
        <v>112900</v>
      </c>
      <c r="H583" t="s">
        <v>17</v>
      </c>
      <c r="I583">
        <v>0</v>
      </c>
      <c r="J583" t="s">
        <v>17</v>
      </c>
      <c r="K583" t="s">
        <v>18</v>
      </c>
      <c r="L583" s="3">
        <f t="shared" si="18"/>
        <v>6134.6290550070553</v>
      </c>
      <c r="M583" s="3">
        <f t="shared" si="19"/>
        <v>37633673.642536759</v>
      </c>
    </row>
    <row r="584" spans="1:13" customFormat="1">
      <c r="A584">
        <v>2022</v>
      </c>
      <c r="B584" t="s">
        <v>13</v>
      </c>
      <c r="C584" t="s">
        <v>14</v>
      </c>
      <c r="D584" t="s">
        <v>15</v>
      </c>
      <c r="E584">
        <v>90320</v>
      </c>
      <c r="F584" t="s">
        <v>16</v>
      </c>
      <c r="G584">
        <v>90320</v>
      </c>
      <c r="H584" t="s">
        <v>17</v>
      </c>
      <c r="I584">
        <v>0</v>
      </c>
      <c r="J584" t="s">
        <v>17</v>
      </c>
      <c r="K584" t="s">
        <v>18</v>
      </c>
      <c r="L584" s="3">
        <f t="shared" si="18"/>
        <v>-16445.370944992945</v>
      </c>
      <c r="M584" s="3">
        <f t="shared" si="19"/>
        <v>270450225.51841813</v>
      </c>
    </row>
    <row r="585" spans="1:13" customFormat="1">
      <c r="A585">
        <v>2022</v>
      </c>
      <c r="B585" t="s">
        <v>13</v>
      </c>
      <c r="C585" t="s">
        <v>14</v>
      </c>
      <c r="D585" t="s">
        <v>15</v>
      </c>
      <c r="E585">
        <v>112900</v>
      </c>
      <c r="F585" t="s">
        <v>16</v>
      </c>
      <c r="G585">
        <v>112900</v>
      </c>
      <c r="H585" t="s">
        <v>17</v>
      </c>
      <c r="I585">
        <v>100</v>
      </c>
      <c r="J585" t="s">
        <v>17</v>
      </c>
      <c r="K585" t="s">
        <v>18</v>
      </c>
      <c r="L585" s="3">
        <f t="shared" si="18"/>
        <v>6134.6290550070553</v>
      </c>
      <c r="M585" s="3">
        <f t="shared" si="19"/>
        <v>37633673.642536759</v>
      </c>
    </row>
    <row r="586" spans="1:13" customFormat="1">
      <c r="A586">
        <v>2022</v>
      </c>
      <c r="B586" t="s">
        <v>13</v>
      </c>
      <c r="C586" t="s">
        <v>14</v>
      </c>
      <c r="D586" t="s">
        <v>15</v>
      </c>
      <c r="E586">
        <v>90320</v>
      </c>
      <c r="F586" t="s">
        <v>16</v>
      </c>
      <c r="G586">
        <v>90320</v>
      </c>
      <c r="H586" t="s">
        <v>17</v>
      </c>
      <c r="I586">
        <v>100</v>
      </c>
      <c r="J586" t="s">
        <v>17</v>
      </c>
      <c r="K586" t="s">
        <v>18</v>
      </c>
      <c r="L586" s="3">
        <f t="shared" si="18"/>
        <v>-16445.370944992945</v>
      </c>
      <c r="M586" s="3">
        <f t="shared" si="19"/>
        <v>270450225.51841813</v>
      </c>
    </row>
    <row r="587" spans="1:13" customFormat="1">
      <c r="A587">
        <v>2022</v>
      </c>
      <c r="B587" t="s">
        <v>13</v>
      </c>
      <c r="C587" t="s">
        <v>14</v>
      </c>
      <c r="D587" t="s">
        <v>36</v>
      </c>
      <c r="E587">
        <v>145000</v>
      </c>
      <c r="F587" t="s">
        <v>16</v>
      </c>
      <c r="G587">
        <v>145000</v>
      </c>
      <c r="H587" t="s">
        <v>17</v>
      </c>
      <c r="I587">
        <v>100</v>
      </c>
      <c r="J587" t="s">
        <v>17</v>
      </c>
      <c r="K587" t="s">
        <v>18</v>
      </c>
      <c r="L587" s="3">
        <f t="shared" si="18"/>
        <v>38234.629055007055</v>
      </c>
      <c r="M587" s="3">
        <f t="shared" si="19"/>
        <v>1461886858.9739897</v>
      </c>
    </row>
    <row r="588" spans="1:13" customFormat="1">
      <c r="A588">
        <v>2022</v>
      </c>
      <c r="B588" t="s">
        <v>13</v>
      </c>
      <c r="C588" t="s">
        <v>14</v>
      </c>
      <c r="D588" t="s">
        <v>36</v>
      </c>
      <c r="E588">
        <v>105400</v>
      </c>
      <c r="F588" t="s">
        <v>16</v>
      </c>
      <c r="G588">
        <v>105400</v>
      </c>
      <c r="H588" t="s">
        <v>17</v>
      </c>
      <c r="I588">
        <v>100</v>
      </c>
      <c r="J588" t="s">
        <v>17</v>
      </c>
      <c r="K588" t="s">
        <v>18</v>
      </c>
      <c r="L588" s="3">
        <f t="shared" si="18"/>
        <v>-1365.3709449929447</v>
      </c>
      <c r="M588" s="3">
        <f t="shared" si="19"/>
        <v>1864237.817430927</v>
      </c>
    </row>
    <row r="589" spans="1:13" customFormat="1">
      <c r="A589">
        <v>2022</v>
      </c>
      <c r="B589" t="s">
        <v>13</v>
      </c>
      <c r="C589" t="s">
        <v>14</v>
      </c>
      <c r="D589" t="s">
        <v>15</v>
      </c>
      <c r="E589">
        <v>115934</v>
      </c>
      <c r="F589" t="s">
        <v>16</v>
      </c>
      <c r="G589">
        <v>115934</v>
      </c>
      <c r="H589" t="s">
        <v>17</v>
      </c>
      <c r="I589">
        <v>0</v>
      </c>
      <c r="J589" t="s">
        <v>17</v>
      </c>
      <c r="K589" t="s">
        <v>18</v>
      </c>
      <c r="L589" s="3">
        <f t="shared" si="18"/>
        <v>9168.6290550070553</v>
      </c>
      <c r="M589" s="3">
        <f t="shared" si="19"/>
        <v>84063758.748319566</v>
      </c>
    </row>
    <row r="590" spans="1:13" customFormat="1">
      <c r="A590">
        <v>2022</v>
      </c>
      <c r="B590" t="s">
        <v>13</v>
      </c>
      <c r="C590" t="s">
        <v>14</v>
      </c>
      <c r="D590" t="s">
        <v>15</v>
      </c>
      <c r="E590">
        <v>81666</v>
      </c>
      <c r="F590" t="s">
        <v>16</v>
      </c>
      <c r="G590">
        <v>81666</v>
      </c>
      <c r="H590" t="s">
        <v>17</v>
      </c>
      <c r="I590">
        <v>0</v>
      </c>
      <c r="J590" t="s">
        <v>17</v>
      </c>
      <c r="K590" t="s">
        <v>18</v>
      </c>
      <c r="L590" s="3">
        <f t="shared" si="18"/>
        <v>-25099.370944992945</v>
      </c>
      <c r="M590" s="3">
        <f t="shared" si="19"/>
        <v>629978421.83435607</v>
      </c>
    </row>
    <row r="591" spans="1:13" customFormat="1">
      <c r="A591">
        <v>2022</v>
      </c>
      <c r="B591" t="s">
        <v>13</v>
      </c>
      <c r="C591" t="s">
        <v>14</v>
      </c>
      <c r="D591" t="s">
        <v>15</v>
      </c>
      <c r="E591">
        <v>164000</v>
      </c>
      <c r="F591" t="s">
        <v>16</v>
      </c>
      <c r="G591">
        <v>164000</v>
      </c>
      <c r="H591" t="s">
        <v>17</v>
      </c>
      <c r="I591">
        <v>0</v>
      </c>
      <c r="J591" t="s">
        <v>17</v>
      </c>
      <c r="K591" t="s">
        <v>18</v>
      </c>
      <c r="L591" s="3">
        <f t="shared" si="18"/>
        <v>57234.629055007055</v>
      </c>
      <c r="M591" s="3">
        <f t="shared" si="19"/>
        <v>3275802763.0642576</v>
      </c>
    </row>
    <row r="592" spans="1:13" customFormat="1">
      <c r="A592">
        <v>2022</v>
      </c>
      <c r="B592" t="s">
        <v>13</v>
      </c>
      <c r="C592" t="s">
        <v>14</v>
      </c>
      <c r="D592" t="s">
        <v>15</v>
      </c>
      <c r="E592">
        <v>132000</v>
      </c>
      <c r="F592" t="s">
        <v>16</v>
      </c>
      <c r="G592">
        <v>132000</v>
      </c>
      <c r="H592" t="s">
        <v>17</v>
      </c>
      <c r="I592">
        <v>0</v>
      </c>
      <c r="J592" t="s">
        <v>17</v>
      </c>
      <c r="K592" t="s">
        <v>18</v>
      </c>
      <c r="L592" s="3">
        <f t="shared" si="18"/>
        <v>25234.629055007055</v>
      </c>
      <c r="M592" s="3">
        <f t="shared" si="19"/>
        <v>636786503.54380631</v>
      </c>
    </row>
    <row r="593" spans="1:13" customFormat="1">
      <c r="A593">
        <v>2022</v>
      </c>
      <c r="B593" t="s">
        <v>13</v>
      </c>
      <c r="C593" t="s">
        <v>14</v>
      </c>
      <c r="D593" t="s">
        <v>15</v>
      </c>
      <c r="E593">
        <v>128875</v>
      </c>
      <c r="F593" t="s">
        <v>16</v>
      </c>
      <c r="G593">
        <v>128875</v>
      </c>
      <c r="H593" t="s">
        <v>17</v>
      </c>
      <c r="I593">
        <v>100</v>
      </c>
      <c r="J593" t="s">
        <v>17</v>
      </c>
      <c r="K593" t="s">
        <v>18</v>
      </c>
      <c r="L593" s="3">
        <f t="shared" si="18"/>
        <v>22109.629055007055</v>
      </c>
      <c r="M593" s="3">
        <f t="shared" si="19"/>
        <v>488835696.95001215</v>
      </c>
    </row>
    <row r="594" spans="1:13" customFormat="1">
      <c r="A594">
        <v>2022</v>
      </c>
      <c r="B594" t="s">
        <v>13</v>
      </c>
      <c r="C594" t="s">
        <v>14</v>
      </c>
      <c r="D594" t="s">
        <v>15</v>
      </c>
      <c r="E594">
        <v>93700</v>
      </c>
      <c r="F594" t="s">
        <v>16</v>
      </c>
      <c r="G594">
        <v>93700</v>
      </c>
      <c r="H594" t="s">
        <v>17</v>
      </c>
      <c r="I594">
        <v>100</v>
      </c>
      <c r="J594" t="s">
        <v>17</v>
      </c>
      <c r="K594" t="s">
        <v>18</v>
      </c>
      <c r="L594" s="3">
        <f t="shared" si="18"/>
        <v>-13065.370944992945</v>
      </c>
      <c r="M594" s="3">
        <f t="shared" si="19"/>
        <v>170703917.93026584</v>
      </c>
    </row>
    <row r="595" spans="1:13" customFormat="1">
      <c r="A595">
        <v>2022</v>
      </c>
      <c r="B595" t="s">
        <v>19</v>
      </c>
      <c r="C595" t="s">
        <v>14</v>
      </c>
      <c r="D595" t="s">
        <v>15</v>
      </c>
      <c r="E595">
        <v>40000</v>
      </c>
      <c r="F595" t="s">
        <v>41</v>
      </c>
      <c r="G595">
        <v>49253</v>
      </c>
      <c r="H595" t="s">
        <v>42</v>
      </c>
      <c r="I595">
        <v>100</v>
      </c>
      <c r="J595" t="s">
        <v>42</v>
      </c>
      <c r="K595" t="s">
        <v>18</v>
      </c>
      <c r="L595" s="3">
        <f t="shared" si="18"/>
        <v>-57512.370944992945</v>
      </c>
      <c r="M595" s="3">
        <f t="shared" si="19"/>
        <v>3307672811.7144685</v>
      </c>
    </row>
    <row r="596" spans="1:13" customFormat="1">
      <c r="A596">
        <v>2022</v>
      </c>
      <c r="B596" t="s">
        <v>19</v>
      </c>
      <c r="C596" t="s">
        <v>14</v>
      </c>
      <c r="D596" t="s">
        <v>15</v>
      </c>
      <c r="E596">
        <v>30000</v>
      </c>
      <c r="F596" t="s">
        <v>41</v>
      </c>
      <c r="G596">
        <v>36940</v>
      </c>
      <c r="H596" t="s">
        <v>42</v>
      </c>
      <c r="I596">
        <v>100</v>
      </c>
      <c r="J596" t="s">
        <v>42</v>
      </c>
      <c r="K596" t="s">
        <v>18</v>
      </c>
      <c r="L596" s="3">
        <f t="shared" si="18"/>
        <v>-69825.370944992945</v>
      </c>
      <c r="M596" s="3">
        <f t="shared" si="19"/>
        <v>4875582427.6058645</v>
      </c>
    </row>
    <row r="597" spans="1:13" customFormat="1">
      <c r="A597">
        <v>2022</v>
      </c>
      <c r="B597" t="s">
        <v>19</v>
      </c>
      <c r="C597" t="s">
        <v>14</v>
      </c>
      <c r="D597" t="s">
        <v>15</v>
      </c>
      <c r="E597">
        <v>40000</v>
      </c>
      <c r="F597" t="s">
        <v>49</v>
      </c>
      <c r="G597">
        <v>42026</v>
      </c>
      <c r="H597" t="s">
        <v>50</v>
      </c>
      <c r="I597">
        <v>100</v>
      </c>
      <c r="J597" t="s">
        <v>50</v>
      </c>
      <c r="K597" t="s">
        <v>18</v>
      </c>
      <c r="L597" s="3">
        <f t="shared" si="18"/>
        <v>-64739.370944992945</v>
      </c>
      <c r="M597" s="3">
        <f t="shared" si="19"/>
        <v>4191186150.3533969</v>
      </c>
    </row>
    <row r="598" spans="1:13" customFormat="1">
      <c r="A598">
        <v>2022</v>
      </c>
      <c r="B598" t="s">
        <v>19</v>
      </c>
      <c r="C598" t="s">
        <v>14</v>
      </c>
      <c r="D598" t="s">
        <v>15</v>
      </c>
      <c r="E598">
        <v>30000</v>
      </c>
      <c r="F598" t="s">
        <v>49</v>
      </c>
      <c r="G598">
        <v>31520</v>
      </c>
      <c r="H598" t="s">
        <v>50</v>
      </c>
      <c r="I598">
        <v>100</v>
      </c>
      <c r="J598" t="s">
        <v>50</v>
      </c>
      <c r="K598" t="s">
        <v>18</v>
      </c>
      <c r="L598" s="3">
        <f t="shared" si="18"/>
        <v>-75245.370944992945</v>
      </c>
      <c r="M598" s="3">
        <f t="shared" si="19"/>
        <v>5661865848.6495886</v>
      </c>
    </row>
    <row r="599" spans="1:13" customFormat="1">
      <c r="A599">
        <v>2022</v>
      </c>
      <c r="B599" t="s">
        <v>19</v>
      </c>
      <c r="C599" t="s">
        <v>14</v>
      </c>
      <c r="D599" t="s">
        <v>15</v>
      </c>
      <c r="E599">
        <v>40000</v>
      </c>
      <c r="F599" t="s">
        <v>49</v>
      </c>
      <c r="G599">
        <v>42026</v>
      </c>
      <c r="H599" t="s">
        <v>69</v>
      </c>
      <c r="I599">
        <v>100</v>
      </c>
      <c r="J599" t="s">
        <v>69</v>
      </c>
      <c r="K599" t="s">
        <v>18</v>
      </c>
      <c r="L599" s="3">
        <f t="shared" si="18"/>
        <v>-64739.370944992945</v>
      </c>
      <c r="M599" s="3">
        <f t="shared" si="19"/>
        <v>4191186150.3533969</v>
      </c>
    </row>
    <row r="600" spans="1:13" customFormat="1">
      <c r="A600">
        <v>2022</v>
      </c>
      <c r="B600" t="s">
        <v>19</v>
      </c>
      <c r="C600" t="s">
        <v>14</v>
      </c>
      <c r="D600" t="s">
        <v>15</v>
      </c>
      <c r="E600">
        <v>30000</v>
      </c>
      <c r="F600" t="s">
        <v>49</v>
      </c>
      <c r="G600">
        <v>31520</v>
      </c>
      <c r="H600" t="s">
        <v>69</v>
      </c>
      <c r="I600">
        <v>100</v>
      </c>
      <c r="J600" t="s">
        <v>69</v>
      </c>
      <c r="K600" t="s">
        <v>18</v>
      </c>
      <c r="L600" s="3">
        <f t="shared" si="18"/>
        <v>-75245.370944992945</v>
      </c>
      <c r="M600" s="3">
        <f t="shared" si="19"/>
        <v>5661865848.6495886</v>
      </c>
    </row>
    <row r="601" spans="1:13" customFormat="1">
      <c r="A601">
        <v>2022</v>
      </c>
      <c r="B601" t="s">
        <v>19</v>
      </c>
      <c r="C601" t="s">
        <v>14</v>
      </c>
      <c r="D601" t="s">
        <v>15</v>
      </c>
      <c r="E601">
        <v>58000</v>
      </c>
      <c r="F601" t="s">
        <v>16</v>
      </c>
      <c r="G601">
        <v>58000</v>
      </c>
      <c r="H601" t="s">
        <v>17</v>
      </c>
      <c r="I601">
        <v>0</v>
      </c>
      <c r="J601" t="s">
        <v>17</v>
      </c>
      <c r="K601" t="s">
        <v>57</v>
      </c>
      <c r="L601" s="3">
        <f t="shared" si="18"/>
        <v>-48765.370944992945</v>
      </c>
      <c r="M601" s="3">
        <f t="shared" si="19"/>
        <v>2378061403.4027619</v>
      </c>
    </row>
    <row r="602" spans="1:13" customFormat="1">
      <c r="A602">
        <v>2022</v>
      </c>
      <c r="B602" t="s">
        <v>19</v>
      </c>
      <c r="C602" t="s">
        <v>14</v>
      </c>
      <c r="D602" t="s">
        <v>15</v>
      </c>
      <c r="E602">
        <v>58000</v>
      </c>
      <c r="F602" t="s">
        <v>16</v>
      </c>
      <c r="G602">
        <v>58000</v>
      </c>
      <c r="H602" t="s">
        <v>17</v>
      </c>
      <c r="I602">
        <v>0</v>
      </c>
      <c r="J602" t="s">
        <v>17</v>
      </c>
      <c r="K602" t="s">
        <v>57</v>
      </c>
      <c r="L602" s="3">
        <f t="shared" si="18"/>
        <v>-48765.370944992945</v>
      </c>
      <c r="M602" s="3">
        <f t="shared" si="19"/>
        <v>2378061403.4027619</v>
      </c>
    </row>
    <row r="603" spans="1:13" customFormat="1">
      <c r="A603">
        <v>2022</v>
      </c>
      <c r="B603" t="s">
        <v>13</v>
      </c>
      <c r="C603" t="s">
        <v>14</v>
      </c>
      <c r="D603" t="s">
        <v>15</v>
      </c>
      <c r="E603">
        <v>124190</v>
      </c>
      <c r="F603" t="s">
        <v>16</v>
      </c>
      <c r="G603">
        <v>124190</v>
      </c>
      <c r="H603" t="s">
        <v>17</v>
      </c>
      <c r="I603">
        <v>100</v>
      </c>
      <c r="J603" t="s">
        <v>17</v>
      </c>
      <c r="K603" t="s">
        <v>18</v>
      </c>
      <c r="L603" s="3">
        <f t="shared" si="18"/>
        <v>17424.629055007055</v>
      </c>
      <c r="M603" s="3">
        <f t="shared" si="19"/>
        <v>303617697.70459604</v>
      </c>
    </row>
    <row r="604" spans="1:13" customFormat="1">
      <c r="A604">
        <v>2022</v>
      </c>
      <c r="B604" t="s">
        <v>13</v>
      </c>
      <c r="C604" t="s">
        <v>14</v>
      </c>
      <c r="D604" t="s">
        <v>15</v>
      </c>
      <c r="E604">
        <v>90320</v>
      </c>
      <c r="F604" t="s">
        <v>16</v>
      </c>
      <c r="G604">
        <v>90320</v>
      </c>
      <c r="H604" t="s">
        <v>17</v>
      </c>
      <c r="I604">
        <v>100</v>
      </c>
      <c r="J604" t="s">
        <v>17</v>
      </c>
      <c r="K604" t="s">
        <v>18</v>
      </c>
      <c r="L604" s="3">
        <f t="shared" si="18"/>
        <v>-16445.370944992945</v>
      </c>
      <c r="M604" s="3">
        <f t="shared" si="19"/>
        <v>270450225.51841813</v>
      </c>
    </row>
    <row r="605" spans="1:13" customFormat="1">
      <c r="A605">
        <v>2022</v>
      </c>
      <c r="B605" t="s">
        <v>19</v>
      </c>
      <c r="C605" t="s">
        <v>14</v>
      </c>
      <c r="D605" t="s">
        <v>15</v>
      </c>
      <c r="E605">
        <v>126500</v>
      </c>
      <c r="F605" t="s">
        <v>16</v>
      </c>
      <c r="G605">
        <v>126500</v>
      </c>
      <c r="H605" t="s">
        <v>17</v>
      </c>
      <c r="I605">
        <v>0</v>
      </c>
      <c r="J605" t="s">
        <v>17</v>
      </c>
      <c r="K605" t="s">
        <v>18</v>
      </c>
      <c r="L605" s="3">
        <f t="shared" si="18"/>
        <v>19734.629055007055</v>
      </c>
      <c r="M605" s="3">
        <f t="shared" si="19"/>
        <v>389455583.93872863</v>
      </c>
    </row>
    <row r="606" spans="1:13" customFormat="1">
      <c r="A606">
        <v>2022</v>
      </c>
      <c r="B606" t="s">
        <v>19</v>
      </c>
      <c r="C606" t="s">
        <v>14</v>
      </c>
      <c r="D606" t="s">
        <v>15</v>
      </c>
      <c r="E606">
        <v>106260</v>
      </c>
      <c r="F606" t="s">
        <v>16</v>
      </c>
      <c r="G606">
        <v>106260</v>
      </c>
      <c r="H606" t="s">
        <v>17</v>
      </c>
      <c r="I606">
        <v>0</v>
      </c>
      <c r="J606" t="s">
        <v>17</v>
      </c>
      <c r="K606" t="s">
        <v>18</v>
      </c>
      <c r="L606" s="3">
        <f t="shared" si="18"/>
        <v>-505.37094499294471</v>
      </c>
      <c r="M606" s="3">
        <f t="shared" si="19"/>
        <v>255399.79204306196</v>
      </c>
    </row>
    <row r="607" spans="1:13" customFormat="1">
      <c r="A607">
        <v>2022</v>
      </c>
      <c r="B607" t="s">
        <v>13</v>
      </c>
      <c r="C607" t="s">
        <v>14</v>
      </c>
      <c r="D607" t="s">
        <v>15</v>
      </c>
      <c r="E607">
        <v>116000</v>
      </c>
      <c r="F607" t="s">
        <v>16</v>
      </c>
      <c r="G607">
        <v>116000</v>
      </c>
      <c r="H607" t="s">
        <v>17</v>
      </c>
      <c r="I607">
        <v>0</v>
      </c>
      <c r="J607" t="s">
        <v>17</v>
      </c>
      <c r="K607" t="s">
        <v>18</v>
      </c>
      <c r="L607" s="3">
        <f t="shared" si="18"/>
        <v>9234.6290550070553</v>
      </c>
      <c r="M607" s="3">
        <f t="shared" si="19"/>
        <v>85278373.783580497</v>
      </c>
    </row>
    <row r="608" spans="1:13" customFormat="1">
      <c r="A608">
        <v>2022</v>
      </c>
      <c r="B608" t="s">
        <v>13</v>
      </c>
      <c r="C608" t="s">
        <v>14</v>
      </c>
      <c r="D608" t="s">
        <v>15</v>
      </c>
      <c r="E608">
        <v>99000</v>
      </c>
      <c r="F608" t="s">
        <v>16</v>
      </c>
      <c r="G608">
        <v>99000</v>
      </c>
      <c r="H608" t="s">
        <v>17</v>
      </c>
      <c r="I608">
        <v>0</v>
      </c>
      <c r="J608" t="s">
        <v>17</v>
      </c>
      <c r="K608" t="s">
        <v>18</v>
      </c>
      <c r="L608" s="3">
        <f t="shared" si="18"/>
        <v>-7765.3709449929447</v>
      </c>
      <c r="M608" s="3">
        <f t="shared" si="19"/>
        <v>60300985.913340621</v>
      </c>
    </row>
    <row r="609" spans="1:13" customFormat="1">
      <c r="A609">
        <v>2022</v>
      </c>
      <c r="B609" t="s">
        <v>13</v>
      </c>
      <c r="C609" t="s">
        <v>14</v>
      </c>
      <c r="D609" t="s">
        <v>15</v>
      </c>
      <c r="E609">
        <v>155000</v>
      </c>
      <c r="F609" t="s">
        <v>16</v>
      </c>
      <c r="G609">
        <v>155000</v>
      </c>
      <c r="H609" t="s">
        <v>17</v>
      </c>
      <c r="I609">
        <v>100</v>
      </c>
      <c r="J609" t="s">
        <v>17</v>
      </c>
      <c r="K609" t="s">
        <v>18</v>
      </c>
      <c r="L609" s="3">
        <f t="shared" si="18"/>
        <v>48234.629055007055</v>
      </c>
      <c r="M609" s="3">
        <f t="shared" si="19"/>
        <v>2326579440.074131</v>
      </c>
    </row>
    <row r="610" spans="1:13" customFormat="1">
      <c r="A610">
        <v>2022</v>
      </c>
      <c r="B610" t="s">
        <v>13</v>
      </c>
      <c r="C610" t="s">
        <v>14</v>
      </c>
      <c r="D610" t="s">
        <v>15</v>
      </c>
      <c r="E610">
        <v>120600</v>
      </c>
      <c r="F610" t="s">
        <v>16</v>
      </c>
      <c r="G610">
        <v>120600</v>
      </c>
      <c r="H610" t="s">
        <v>17</v>
      </c>
      <c r="I610">
        <v>100</v>
      </c>
      <c r="J610" t="s">
        <v>17</v>
      </c>
      <c r="K610" t="s">
        <v>18</v>
      </c>
      <c r="L610" s="3">
        <f t="shared" si="18"/>
        <v>13834.629055007055</v>
      </c>
      <c r="M610" s="3">
        <f t="shared" si="19"/>
        <v>191396961.08964542</v>
      </c>
    </row>
    <row r="611" spans="1:13" customFormat="1">
      <c r="A611">
        <v>2022</v>
      </c>
      <c r="B611" t="s">
        <v>13</v>
      </c>
      <c r="C611" t="s">
        <v>14</v>
      </c>
      <c r="D611" t="s">
        <v>15</v>
      </c>
      <c r="E611">
        <v>102100</v>
      </c>
      <c r="F611" t="s">
        <v>16</v>
      </c>
      <c r="G611">
        <v>102100</v>
      </c>
      <c r="H611" t="s">
        <v>17</v>
      </c>
      <c r="I611">
        <v>100</v>
      </c>
      <c r="J611" t="s">
        <v>17</v>
      </c>
      <c r="K611" t="s">
        <v>18</v>
      </c>
      <c r="L611" s="3">
        <f t="shared" si="18"/>
        <v>-4665.3709449929447</v>
      </c>
      <c r="M611" s="3">
        <f t="shared" si="19"/>
        <v>21765686.054384362</v>
      </c>
    </row>
    <row r="612" spans="1:13" customFormat="1">
      <c r="A612">
        <v>2022</v>
      </c>
      <c r="B612" t="s">
        <v>13</v>
      </c>
      <c r="C612" t="s">
        <v>14</v>
      </c>
      <c r="D612" t="s">
        <v>15</v>
      </c>
      <c r="E612">
        <v>84900</v>
      </c>
      <c r="F612" t="s">
        <v>16</v>
      </c>
      <c r="G612">
        <v>84900</v>
      </c>
      <c r="H612" t="s">
        <v>17</v>
      </c>
      <c r="I612">
        <v>100</v>
      </c>
      <c r="J612" t="s">
        <v>17</v>
      </c>
      <c r="K612" t="s">
        <v>18</v>
      </c>
      <c r="L612" s="3">
        <f t="shared" si="18"/>
        <v>-21865.370944992945</v>
      </c>
      <c r="M612" s="3">
        <f t="shared" si="19"/>
        <v>478094446.56214166</v>
      </c>
    </row>
    <row r="613" spans="1:13" customFormat="1">
      <c r="A613">
        <v>2022</v>
      </c>
      <c r="B613" t="s">
        <v>44</v>
      </c>
      <c r="C613" t="s">
        <v>14</v>
      </c>
      <c r="D613" t="s">
        <v>15</v>
      </c>
      <c r="E613">
        <v>130000</v>
      </c>
      <c r="F613" t="s">
        <v>16</v>
      </c>
      <c r="G613">
        <v>130000</v>
      </c>
      <c r="H613" t="s">
        <v>17</v>
      </c>
      <c r="I613">
        <v>100</v>
      </c>
      <c r="J613" t="s">
        <v>17</v>
      </c>
      <c r="K613" t="s">
        <v>18</v>
      </c>
      <c r="L613" s="3">
        <f t="shared" si="18"/>
        <v>23234.629055007055</v>
      </c>
      <c r="M613" s="3">
        <f t="shared" si="19"/>
        <v>539847987.32377803</v>
      </c>
    </row>
    <row r="614" spans="1:13" customFormat="1">
      <c r="A614">
        <v>2022</v>
      </c>
      <c r="B614" t="s">
        <v>44</v>
      </c>
      <c r="C614" t="s">
        <v>14</v>
      </c>
      <c r="D614" t="s">
        <v>15</v>
      </c>
      <c r="E614">
        <v>110000</v>
      </c>
      <c r="F614" t="s">
        <v>16</v>
      </c>
      <c r="G614">
        <v>110000</v>
      </c>
      <c r="H614" t="s">
        <v>17</v>
      </c>
      <c r="I614">
        <v>100</v>
      </c>
      <c r="J614" t="s">
        <v>17</v>
      </c>
      <c r="K614" t="s">
        <v>18</v>
      </c>
      <c r="L614" s="3">
        <f t="shared" si="18"/>
        <v>3234.6290550070553</v>
      </c>
      <c r="M614" s="3">
        <f t="shared" si="19"/>
        <v>10462825.123495836</v>
      </c>
    </row>
    <row r="615" spans="1:13" customFormat="1">
      <c r="A615">
        <v>2022</v>
      </c>
      <c r="B615" t="s">
        <v>13</v>
      </c>
      <c r="C615" t="s">
        <v>14</v>
      </c>
      <c r="D615" t="s">
        <v>15</v>
      </c>
      <c r="E615">
        <v>170000</v>
      </c>
      <c r="F615" t="s">
        <v>16</v>
      </c>
      <c r="G615">
        <v>170000</v>
      </c>
      <c r="H615" t="s">
        <v>17</v>
      </c>
      <c r="I615">
        <v>100</v>
      </c>
      <c r="J615" t="s">
        <v>17</v>
      </c>
      <c r="K615" t="s">
        <v>18</v>
      </c>
      <c r="L615" s="3">
        <f t="shared" si="18"/>
        <v>63234.629055007055</v>
      </c>
      <c r="M615" s="3">
        <f t="shared" si="19"/>
        <v>3998618311.7243423</v>
      </c>
    </row>
    <row r="616" spans="1:13" customFormat="1">
      <c r="A616">
        <v>2022</v>
      </c>
      <c r="B616" t="s">
        <v>13</v>
      </c>
      <c r="C616" t="s">
        <v>14</v>
      </c>
      <c r="D616" t="s">
        <v>15</v>
      </c>
      <c r="E616">
        <v>135000</v>
      </c>
      <c r="F616" t="s">
        <v>16</v>
      </c>
      <c r="G616">
        <v>135000</v>
      </c>
      <c r="H616" t="s">
        <v>17</v>
      </c>
      <c r="I616">
        <v>100</v>
      </c>
      <c r="J616" t="s">
        <v>17</v>
      </c>
      <c r="K616" t="s">
        <v>18</v>
      </c>
      <c r="L616" s="3">
        <f t="shared" si="18"/>
        <v>28234.629055007055</v>
      </c>
      <c r="M616" s="3">
        <f t="shared" si="19"/>
        <v>797194277.87384856</v>
      </c>
    </row>
    <row r="617" spans="1:13" customFormat="1">
      <c r="A617">
        <v>2022</v>
      </c>
      <c r="B617" t="s">
        <v>13</v>
      </c>
      <c r="C617" t="s">
        <v>14</v>
      </c>
      <c r="D617" t="s">
        <v>15</v>
      </c>
      <c r="E617">
        <v>130000</v>
      </c>
      <c r="F617" t="s">
        <v>16</v>
      </c>
      <c r="G617">
        <v>130000</v>
      </c>
      <c r="H617" t="s">
        <v>46</v>
      </c>
      <c r="I617">
        <v>100</v>
      </c>
      <c r="J617" t="s">
        <v>46</v>
      </c>
      <c r="K617" t="s">
        <v>18</v>
      </c>
      <c r="L617" s="3">
        <f t="shared" si="18"/>
        <v>23234.629055007055</v>
      </c>
      <c r="M617" s="3">
        <f t="shared" si="19"/>
        <v>539847987.32377803</v>
      </c>
    </row>
    <row r="618" spans="1:13" customFormat="1">
      <c r="A618">
        <v>2022</v>
      </c>
      <c r="B618" t="s">
        <v>13</v>
      </c>
      <c r="C618" t="s">
        <v>14</v>
      </c>
      <c r="D618" t="s">
        <v>15</v>
      </c>
      <c r="E618">
        <v>61300</v>
      </c>
      <c r="F618" t="s">
        <v>16</v>
      </c>
      <c r="G618">
        <v>61300</v>
      </c>
      <c r="H618" t="s">
        <v>46</v>
      </c>
      <c r="I618">
        <v>100</v>
      </c>
      <c r="J618" t="s">
        <v>46</v>
      </c>
      <c r="K618" t="s">
        <v>18</v>
      </c>
      <c r="L618" s="3">
        <f t="shared" si="18"/>
        <v>-45465.370944992945</v>
      </c>
      <c r="M618" s="3">
        <f t="shared" si="19"/>
        <v>2067099955.1658087</v>
      </c>
    </row>
    <row r="619" spans="1:13" customFormat="1">
      <c r="A619">
        <v>2022</v>
      </c>
      <c r="B619" t="s">
        <v>13</v>
      </c>
      <c r="C619" t="s">
        <v>14</v>
      </c>
      <c r="D619" t="s">
        <v>15</v>
      </c>
      <c r="E619">
        <v>130000</v>
      </c>
      <c r="F619" t="s">
        <v>16</v>
      </c>
      <c r="G619">
        <v>130000</v>
      </c>
      <c r="H619" t="s">
        <v>46</v>
      </c>
      <c r="I619">
        <v>100</v>
      </c>
      <c r="J619" t="s">
        <v>46</v>
      </c>
      <c r="K619" t="s">
        <v>18</v>
      </c>
      <c r="L619" s="3">
        <f t="shared" si="18"/>
        <v>23234.629055007055</v>
      </c>
      <c r="M619" s="3">
        <f t="shared" si="19"/>
        <v>539847987.32377803</v>
      </c>
    </row>
    <row r="620" spans="1:13" customFormat="1">
      <c r="A620">
        <v>2022</v>
      </c>
      <c r="B620" t="s">
        <v>13</v>
      </c>
      <c r="C620" t="s">
        <v>14</v>
      </c>
      <c r="D620" t="s">
        <v>15</v>
      </c>
      <c r="E620">
        <v>61300</v>
      </c>
      <c r="F620" t="s">
        <v>16</v>
      </c>
      <c r="G620">
        <v>61300</v>
      </c>
      <c r="H620" t="s">
        <v>46</v>
      </c>
      <c r="I620">
        <v>100</v>
      </c>
      <c r="J620" t="s">
        <v>46</v>
      </c>
      <c r="K620" t="s">
        <v>18</v>
      </c>
      <c r="L620" s="3">
        <f t="shared" si="18"/>
        <v>-45465.370944992945</v>
      </c>
      <c r="M620" s="3">
        <f t="shared" si="19"/>
        <v>2067099955.1658087</v>
      </c>
    </row>
    <row r="621" spans="1:13" customFormat="1">
      <c r="A621">
        <v>2022</v>
      </c>
      <c r="B621" t="s">
        <v>19</v>
      </c>
      <c r="C621" t="s">
        <v>14</v>
      </c>
      <c r="D621" t="s">
        <v>15</v>
      </c>
      <c r="E621">
        <v>167000</v>
      </c>
      <c r="F621" t="s">
        <v>16</v>
      </c>
      <c r="G621">
        <v>167000</v>
      </c>
      <c r="H621" t="s">
        <v>17</v>
      </c>
      <c r="I621">
        <v>100</v>
      </c>
      <c r="J621" t="s">
        <v>17</v>
      </c>
      <c r="K621" t="s">
        <v>18</v>
      </c>
      <c r="L621" s="3">
        <f t="shared" si="18"/>
        <v>60234.629055007055</v>
      </c>
      <c r="M621" s="3">
        <f t="shared" si="19"/>
        <v>3628210537.3943</v>
      </c>
    </row>
    <row r="622" spans="1:13" customFormat="1">
      <c r="A622">
        <v>2022</v>
      </c>
      <c r="B622" t="s">
        <v>19</v>
      </c>
      <c r="C622" t="s">
        <v>14</v>
      </c>
      <c r="D622" t="s">
        <v>15</v>
      </c>
      <c r="E622">
        <v>115500</v>
      </c>
      <c r="F622" t="s">
        <v>16</v>
      </c>
      <c r="G622">
        <v>115500</v>
      </c>
      <c r="H622" t="s">
        <v>17</v>
      </c>
      <c r="I622">
        <v>100</v>
      </c>
      <c r="J622" t="s">
        <v>17</v>
      </c>
      <c r="K622" t="s">
        <v>18</v>
      </c>
      <c r="L622" s="3">
        <f t="shared" si="18"/>
        <v>8734.6290550070553</v>
      </c>
      <c r="M622" s="3">
        <f t="shared" si="19"/>
        <v>76293744.728573442</v>
      </c>
    </row>
    <row r="623" spans="1:13" customFormat="1">
      <c r="A623">
        <v>2022</v>
      </c>
      <c r="B623" t="s">
        <v>13</v>
      </c>
      <c r="C623" t="s">
        <v>14</v>
      </c>
      <c r="D623" t="s">
        <v>15</v>
      </c>
      <c r="E623">
        <v>112900</v>
      </c>
      <c r="F623" t="s">
        <v>16</v>
      </c>
      <c r="G623">
        <v>112900</v>
      </c>
      <c r="H623" t="s">
        <v>17</v>
      </c>
      <c r="I623">
        <v>100</v>
      </c>
      <c r="J623" t="s">
        <v>17</v>
      </c>
      <c r="K623" t="s">
        <v>18</v>
      </c>
      <c r="L623" s="3">
        <f t="shared" si="18"/>
        <v>6134.6290550070553</v>
      </c>
      <c r="M623" s="3">
        <f t="shared" si="19"/>
        <v>37633673.642536759</v>
      </c>
    </row>
    <row r="624" spans="1:13" customFormat="1">
      <c r="A624">
        <v>2022</v>
      </c>
      <c r="B624" t="s">
        <v>13</v>
      </c>
      <c r="C624" t="s">
        <v>14</v>
      </c>
      <c r="D624" t="s">
        <v>15</v>
      </c>
      <c r="E624">
        <v>90320</v>
      </c>
      <c r="F624" t="s">
        <v>16</v>
      </c>
      <c r="G624">
        <v>90320</v>
      </c>
      <c r="H624" t="s">
        <v>17</v>
      </c>
      <c r="I624">
        <v>100</v>
      </c>
      <c r="J624" t="s">
        <v>17</v>
      </c>
      <c r="K624" t="s">
        <v>18</v>
      </c>
      <c r="L624" s="3">
        <f t="shared" si="18"/>
        <v>-16445.370944992945</v>
      </c>
      <c r="M624" s="3">
        <f t="shared" si="19"/>
        <v>270450225.51841813</v>
      </c>
    </row>
    <row r="625" spans="1:13" customFormat="1">
      <c r="A625">
        <v>2022</v>
      </c>
      <c r="B625" t="s">
        <v>13</v>
      </c>
      <c r="C625" t="s">
        <v>14</v>
      </c>
      <c r="D625" t="s">
        <v>15</v>
      </c>
      <c r="E625">
        <v>112900</v>
      </c>
      <c r="F625" t="s">
        <v>16</v>
      </c>
      <c r="G625">
        <v>112900</v>
      </c>
      <c r="H625" t="s">
        <v>17</v>
      </c>
      <c r="I625">
        <v>100</v>
      </c>
      <c r="J625" t="s">
        <v>17</v>
      </c>
      <c r="K625" t="s">
        <v>18</v>
      </c>
      <c r="L625" s="3">
        <f t="shared" si="18"/>
        <v>6134.6290550070553</v>
      </c>
      <c r="M625" s="3">
        <f t="shared" si="19"/>
        <v>37633673.642536759</v>
      </c>
    </row>
    <row r="626" spans="1:13" customFormat="1">
      <c r="A626">
        <v>2022</v>
      </c>
      <c r="B626" t="s">
        <v>13</v>
      </c>
      <c r="C626" t="s">
        <v>14</v>
      </c>
      <c r="D626" t="s">
        <v>15</v>
      </c>
      <c r="E626">
        <v>90320</v>
      </c>
      <c r="F626" t="s">
        <v>16</v>
      </c>
      <c r="G626">
        <v>90320</v>
      </c>
      <c r="H626" t="s">
        <v>17</v>
      </c>
      <c r="I626">
        <v>100</v>
      </c>
      <c r="J626" t="s">
        <v>17</v>
      </c>
      <c r="K626" t="s">
        <v>18</v>
      </c>
      <c r="L626" s="3">
        <f t="shared" si="18"/>
        <v>-16445.370944992945</v>
      </c>
      <c r="M626" s="3">
        <f t="shared" si="19"/>
        <v>270450225.51841813</v>
      </c>
    </row>
    <row r="627" spans="1:13" customFormat="1">
      <c r="A627">
        <v>2022</v>
      </c>
      <c r="B627" t="s">
        <v>13</v>
      </c>
      <c r="C627" t="s">
        <v>14</v>
      </c>
      <c r="D627" t="s">
        <v>15</v>
      </c>
      <c r="E627">
        <v>136600</v>
      </c>
      <c r="F627" t="s">
        <v>16</v>
      </c>
      <c r="G627">
        <v>136600</v>
      </c>
      <c r="H627" t="s">
        <v>17</v>
      </c>
      <c r="I627">
        <v>100</v>
      </c>
      <c r="J627" t="s">
        <v>17</v>
      </c>
      <c r="K627" t="s">
        <v>18</v>
      </c>
      <c r="L627" s="3">
        <f t="shared" si="18"/>
        <v>29834.629055007055</v>
      </c>
      <c r="M627" s="3">
        <f t="shared" si="19"/>
        <v>890105090.84987116</v>
      </c>
    </row>
    <row r="628" spans="1:13" customFormat="1">
      <c r="A628">
        <v>2022</v>
      </c>
      <c r="B628" t="s">
        <v>13</v>
      </c>
      <c r="C628" t="s">
        <v>14</v>
      </c>
      <c r="D628" t="s">
        <v>15</v>
      </c>
      <c r="E628">
        <v>109280</v>
      </c>
      <c r="F628" t="s">
        <v>16</v>
      </c>
      <c r="G628">
        <v>109280</v>
      </c>
      <c r="H628" t="s">
        <v>17</v>
      </c>
      <c r="I628">
        <v>100</v>
      </c>
      <c r="J628" t="s">
        <v>17</v>
      </c>
      <c r="K628" t="s">
        <v>18</v>
      </c>
      <c r="L628" s="3">
        <f t="shared" si="18"/>
        <v>2514.6290550070553</v>
      </c>
      <c r="M628" s="3">
        <f t="shared" si="19"/>
        <v>6323359.2842856757</v>
      </c>
    </row>
    <row r="629" spans="1:13" customFormat="1">
      <c r="A629">
        <v>2022</v>
      </c>
      <c r="B629" t="s">
        <v>13</v>
      </c>
      <c r="C629" t="s">
        <v>14</v>
      </c>
      <c r="D629" t="s">
        <v>15</v>
      </c>
      <c r="E629">
        <v>116150</v>
      </c>
      <c r="F629" t="s">
        <v>16</v>
      </c>
      <c r="G629">
        <v>116150</v>
      </c>
      <c r="H629" t="s">
        <v>17</v>
      </c>
      <c r="I629">
        <v>100</v>
      </c>
      <c r="J629" t="s">
        <v>17</v>
      </c>
      <c r="K629" t="s">
        <v>18</v>
      </c>
      <c r="L629" s="3">
        <f t="shared" si="18"/>
        <v>9384.6290550070553</v>
      </c>
      <c r="M629" s="3">
        <f t="shared" si="19"/>
        <v>88071262.500082612</v>
      </c>
    </row>
    <row r="630" spans="1:13" customFormat="1">
      <c r="A630">
        <v>2022</v>
      </c>
      <c r="B630" t="s">
        <v>13</v>
      </c>
      <c r="C630" t="s">
        <v>14</v>
      </c>
      <c r="D630" t="s">
        <v>15</v>
      </c>
      <c r="E630">
        <v>99050</v>
      </c>
      <c r="F630" t="s">
        <v>16</v>
      </c>
      <c r="G630">
        <v>99050</v>
      </c>
      <c r="H630" t="s">
        <v>17</v>
      </c>
      <c r="I630">
        <v>100</v>
      </c>
      <c r="J630" t="s">
        <v>17</v>
      </c>
      <c r="K630" t="s">
        <v>18</v>
      </c>
      <c r="L630" s="3">
        <f t="shared" si="18"/>
        <v>-7715.3709449929447</v>
      </c>
      <c r="M630" s="3">
        <f t="shared" si="19"/>
        <v>59526948.818841323</v>
      </c>
    </row>
    <row r="631" spans="1:13" customFormat="1">
      <c r="A631">
        <v>2022</v>
      </c>
      <c r="B631" t="s">
        <v>13</v>
      </c>
      <c r="C631" t="s">
        <v>14</v>
      </c>
      <c r="D631" t="s">
        <v>15</v>
      </c>
      <c r="E631">
        <v>112900</v>
      </c>
      <c r="F631" t="s">
        <v>16</v>
      </c>
      <c r="G631">
        <v>112900</v>
      </c>
      <c r="H631" t="s">
        <v>17</v>
      </c>
      <c r="I631">
        <v>100</v>
      </c>
      <c r="J631" t="s">
        <v>17</v>
      </c>
      <c r="K631" t="s">
        <v>18</v>
      </c>
      <c r="L631" s="3">
        <f t="shared" si="18"/>
        <v>6134.6290550070553</v>
      </c>
      <c r="M631" s="3">
        <f t="shared" si="19"/>
        <v>37633673.642536759</v>
      </c>
    </row>
    <row r="632" spans="1:13" customFormat="1">
      <c r="A632">
        <v>2022</v>
      </c>
      <c r="B632" t="s">
        <v>13</v>
      </c>
      <c r="C632" t="s">
        <v>14</v>
      </c>
      <c r="D632" t="s">
        <v>15</v>
      </c>
      <c r="E632">
        <v>90320</v>
      </c>
      <c r="F632" t="s">
        <v>16</v>
      </c>
      <c r="G632">
        <v>90320</v>
      </c>
      <c r="H632" t="s">
        <v>17</v>
      </c>
      <c r="I632">
        <v>100</v>
      </c>
      <c r="J632" t="s">
        <v>17</v>
      </c>
      <c r="K632" t="s">
        <v>18</v>
      </c>
      <c r="L632" s="3">
        <f t="shared" si="18"/>
        <v>-16445.370944992945</v>
      </c>
      <c r="M632" s="3">
        <f t="shared" si="19"/>
        <v>270450225.51841813</v>
      </c>
    </row>
    <row r="633" spans="1:13" customFormat="1">
      <c r="A633">
        <v>2022</v>
      </c>
      <c r="B633" t="s">
        <v>19</v>
      </c>
      <c r="C633" t="s">
        <v>14</v>
      </c>
      <c r="D633" t="s">
        <v>15</v>
      </c>
      <c r="E633">
        <v>85000</v>
      </c>
      <c r="F633" t="s">
        <v>16</v>
      </c>
      <c r="G633">
        <v>85000</v>
      </c>
      <c r="H633" t="s">
        <v>46</v>
      </c>
      <c r="I633">
        <v>0</v>
      </c>
      <c r="J633" t="s">
        <v>46</v>
      </c>
      <c r="K633" t="s">
        <v>18</v>
      </c>
      <c r="L633" s="3">
        <f t="shared" si="18"/>
        <v>-21765.370944992945</v>
      </c>
      <c r="M633" s="3">
        <f t="shared" si="19"/>
        <v>473731372.37314308</v>
      </c>
    </row>
    <row r="634" spans="1:13" customFormat="1">
      <c r="A634">
        <v>2022</v>
      </c>
      <c r="B634" t="s">
        <v>19</v>
      </c>
      <c r="C634" t="s">
        <v>14</v>
      </c>
      <c r="D634" t="s">
        <v>15</v>
      </c>
      <c r="E634">
        <v>75000</v>
      </c>
      <c r="F634" t="s">
        <v>16</v>
      </c>
      <c r="G634">
        <v>75000</v>
      </c>
      <c r="H634" t="s">
        <v>46</v>
      </c>
      <c r="I634">
        <v>0</v>
      </c>
      <c r="J634" t="s">
        <v>46</v>
      </c>
      <c r="K634" t="s">
        <v>18</v>
      </c>
      <c r="L634" s="3">
        <f t="shared" si="18"/>
        <v>-31765.370944992945</v>
      </c>
      <c r="M634" s="3">
        <f t="shared" si="19"/>
        <v>1009038791.2730019</v>
      </c>
    </row>
    <row r="635" spans="1:13" customFormat="1">
      <c r="A635">
        <v>2022</v>
      </c>
      <c r="B635" t="s">
        <v>13</v>
      </c>
      <c r="C635" t="s">
        <v>14</v>
      </c>
      <c r="D635" t="s">
        <v>15</v>
      </c>
      <c r="E635">
        <v>115934</v>
      </c>
      <c r="F635" t="s">
        <v>16</v>
      </c>
      <c r="G635">
        <v>115934</v>
      </c>
      <c r="H635" t="s">
        <v>17</v>
      </c>
      <c r="I635">
        <v>100</v>
      </c>
      <c r="J635" t="s">
        <v>17</v>
      </c>
      <c r="K635" t="s">
        <v>18</v>
      </c>
      <c r="L635" s="3">
        <f t="shared" si="18"/>
        <v>9168.6290550070553</v>
      </c>
      <c r="M635" s="3">
        <f t="shared" si="19"/>
        <v>84063758.748319566</v>
      </c>
    </row>
    <row r="636" spans="1:13" customFormat="1">
      <c r="A636">
        <v>2022</v>
      </c>
      <c r="B636" t="s">
        <v>13</v>
      </c>
      <c r="C636" t="s">
        <v>14</v>
      </c>
      <c r="D636" t="s">
        <v>15</v>
      </c>
      <c r="E636">
        <v>81666</v>
      </c>
      <c r="F636" t="s">
        <v>16</v>
      </c>
      <c r="G636">
        <v>81666</v>
      </c>
      <c r="H636" t="s">
        <v>17</v>
      </c>
      <c r="I636">
        <v>100</v>
      </c>
      <c r="J636" t="s">
        <v>17</v>
      </c>
      <c r="K636" t="s">
        <v>18</v>
      </c>
      <c r="L636" s="3">
        <f t="shared" si="18"/>
        <v>-25099.370944992945</v>
      </c>
      <c r="M636" s="3">
        <f t="shared" si="19"/>
        <v>629978421.83435607</v>
      </c>
    </row>
    <row r="637" spans="1:13" customFormat="1">
      <c r="A637">
        <v>2022</v>
      </c>
      <c r="B637" t="s">
        <v>19</v>
      </c>
      <c r="C637" t="s">
        <v>14</v>
      </c>
      <c r="D637" t="s">
        <v>15</v>
      </c>
      <c r="E637">
        <v>50000</v>
      </c>
      <c r="F637" t="s">
        <v>41</v>
      </c>
      <c r="G637">
        <v>61566</v>
      </c>
      <c r="H637" t="s">
        <v>42</v>
      </c>
      <c r="I637">
        <v>0</v>
      </c>
      <c r="J637" t="s">
        <v>42</v>
      </c>
      <c r="K637" t="s">
        <v>18</v>
      </c>
      <c r="L637" s="3">
        <f t="shared" si="18"/>
        <v>-45199.370944992945</v>
      </c>
      <c r="M637" s="3">
        <f t="shared" si="19"/>
        <v>2042983133.8230724</v>
      </c>
    </row>
    <row r="638" spans="1:13" customFormat="1">
      <c r="A638">
        <v>2022</v>
      </c>
      <c r="B638" t="s">
        <v>19</v>
      </c>
      <c r="C638" t="s">
        <v>14</v>
      </c>
      <c r="D638" t="s">
        <v>15</v>
      </c>
      <c r="E638">
        <v>35000</v>
      </c>
      <c r="F638" t="s">
        <v>41</v>
      </c>
      <c r="G638">
        <v>43096</v>
      </c>
      <c r="H638" t="s">
        <v>42</v>
      </c>
      <c r="I638">
        <v>0</v>
      </c>
      <c r="J638" t="s">
        <v>42</v>
      </c>
      <c r="K638" t="s">
        <v>18</v>
      </c>
      <c r="L638" s="3">
        <f t="shared" si="18"/>
        <v>-63669.370944992945</v>
      </c>
      <c r="M638" s="3">
        <f t="shared" si="19"/>
        <v>4053788796.5311117</v>
      </c>
    </row>
    <row r="639" spans="1:13" customFormat="1">
      <c r="A639">
        <v>2022</v>
      </c>
      <c r="B639" t="s">
        <v>13</v>
      </c>
      <c r="C639" t="s">
        <v>14</v>
      </c>
      <c r="D639" t="s">
        <v>15</v>
      </c>
      <c r="E639">
        <v>80000</v>
      </c>
      <c r="F639" t="s">
        <v>16</v>
      </c>
      <c r="G639">
        <v>80000</v>
      </c>
      <c r="H639" t="s">
        <v>17</v>
      </c>
      <c r="I639">
        <v>100</v>
      </c>
      <c r="J639" t="s">
        <v>17</v>
      </c>
      <c r="K639" t="s">
        <v>18</v>
      </c>
      <c r="L639" s="3">
        <f t="shared" si="18"/>
        <v>-26765.370944992945</v>
      </c>
      <c r="M639" s="3">
        <f t="shared" si="19"/>
        <v>716385081.82307255</v>
      </c>
    </row>
    <row r="640" spans="1:13" customFormat="1">
      <c r="A640">
        <v>2022</v>
      </c>
      <c r="B640" t="s">
        <v>13</v>
      </c>
      <c r="C640" t="s">
        <v>14</v>
      </c>
      <c r="D640" t="s">
        <v>15</v>
      </c>
      <c r="E640">
        <v>60000</v>
      </c>
      <c r="F640" t="s">
        <v>16</v>
      </c>
      <c r="G640">
        <v>60000</v>
      </c>
      <c r="H640" t="s">
        <v>17</v>
      </c>
      <c r="I640">
        <v>100</v>
      </c>
      <c r="J640" t="s">
        <v>17</v>
      </c>
      <c r="K640" t="s">
        <v>18</v>
      </c>
      <c r="L640" s="3">
        <f t="shared" si="18"/>
        <v>-46765.370944992945</v>
      </c>
      <c r="M640" s="3">
        <f t="shared" si="19"/>
        <v>2186999919.6227903</v>
      </c>
    </row>
    <row r="641" spans="1:13" customFormat="1">
      <c r="A641">
        <v>2022</v>
      </c>
      <c r="B641" t="s">
        <v>13</v>
      </c>
      <c r="C641" t="s">
        <v>14</v>
      </c>
      <c r="D641" t="s">
        <v>36</v>
      </c>
      <c r="E641">
        <v>150260</v>
      </c>
      <c r="F641" t="s">
        <v>16</v>
      </c>
      <c r="G641">
        <v>150260</v>
      </c>
      <c r="H641" t="s">
        <v>17</v>
      </c>
      <c r="I641">
        <v>100</v>
      </c>
      <c r="J641" t="s">
        <v>17</v>
      </c>
      <c r="K641" t="s">
        <v>18</v>
      </c>
      <c r="L641" s="3">
        <f t="shared" si="18"/>
        <v>43494.629055007055</v>
      </c>
      <c r="M641" s="3">
        <f t="shared" si="19"/>
        <v>1891782756.632664</v>
      </c>
    </row>
    <row r="642" spans="1:13" customFormat="1">
      <c r="A642">
        <v>2022</v>
      </c>
      <c r="B642" t="s">
        <v>13</v>
      </c>
      <c r="C642" t="s">
        <v>14</v>
      </c>
      <c r="D642" t="s">
        <v>36</v>
      </c>
      <c r="E642">
        <v>109280</v>
      </c>
      <c r="F642" t="s">
        <v>16</v>
      </c>
      <c r="G642">
        <v>109280</v>
      </c>
      <c r="H642" t="s">
        <v>17</v>
      </c>
      <c r="I642">
        <v>100</v>
      </c>
      <c r="J642" t="s">
        <v>17</v>
      </c>
      <c r="K642" t="s">
        <v>18</v>
      </c>
      <c r="L642" s="3">
        <f t="shared" si="18"/>
        <v>2514.6290550070553</v>
      </c>
      <c r="M642" s="3">
        <f t="shared" si="19"/>
        <v>6323359.2842856757</v>
      </c>
    </row>
    <row r="643" spans="1:13" customFormat="1">
      <c r="A643">
        <v>2022</v>
      </c>
      <c r="B643" t="s">
        <v>13</v>
      </c>
      <c r="C643" t="s">
        <v>14</v>
      </c>
      <c r="D643" t="s">
        <v>15</v>
      </c>
      <c r="E643">
        <v>170000</v>
      </c>
      <c r="F643" t="s">
        <v>16</v>
      </c>
      <c r="G643">
        <v>170000</v>
      </c>
      <c r="H643" t="s">
        <v>17</v>
      </c>
      <c r="I643">
        <v>100</v>
      </c>
      <c r="J643" t="s">
        <v>17</v>
      </c>
      <c r="K643" t="s">
        <v>18</v>
      </c>
      <c r="L643" s="3">
        <f t="shared" ref="L643:L706" si="20">G643-$P$5</f>
        <v>63234.629055007055</v>
      </c>
      <c r="M643" s="3">
        <f t="shared" ref="M643:M706" si="21">L643^2</f>
        <v>3998618311.7243423</v>
      </c>
    </row>
    <row r="644" spans="1:13" customFormat="1">
      <c r="A644">
        <v>2022</v>
      </c>
      <c r="B644" t="s">
        <v>13</v>
      </c>
      <c r="C644" t="s">
        <v>14</v>
      </c>
      <c r="D644" t="s">
        <v>15</v>
      </c>
      <c r="E644">
        <v>150000</v>
      </c>
      <c r="F644" t="s">
        <v>16</v>
      </c>
      <c r="G644">
        <v>150000</v>
      </c>
      <c r="H644" t="s">
        <v>17</v>
      </c>
      <c r="I644">
        <v>100</v>
      </c>
      <c r="J644" t="s">
        <v>17</v>
      </c>
      <c r="K644" t="s">
        <v>18</v>
      </c>
      <c r="L644" s="3">
        <f t="shared" si="20"/>
        <v>43234.629055007055</v>
      </c>
      <c r="M644" s="3">
        <f t="shared" si="21"/>
        <v>1869233149.5240602</v>
      </c>
    </row>
    <row r="645" spans="1:13" customFormat="1">
      <c r="A645">
        <v>2022</v>
      </c>
      <c r="B645" t="s">
        <v>28</v>
      </c>
      <c r="C645" t="s">
        <v>14</v>
      </c>
      <c r="D645" t="s">
        <v>15</v>
      </c>
      <c r="E645">
        <v>67000</v>
      </c>
      <c r="F645" t="s">
        <v>16</v>
      </c>
      <c r="G645">
        <v>67000</v>
      </c>
      <c r="H645" t="s">
        <v>46</v>
      </c>
      <c r="I645">
        <v>0</v>
      </c>
      <c r="J645" t="s">
        <v>46</v>
      </c>
      <c r="K645" t="s">
        <v>18</v>
      </c>
      <c r="L645" s="3">
        <f t="shared" si="20"/>
        <v>-39765.370944992945</v>
      </c>
      <c r="M645" s="3">
        <f t="shared" si="21"/>
        <v>1581284726.392889</v>
      </c>
    </row>
    <row r="646" spans="1:13" customFormat="1">
      <c r="A646">
        <v>2022</v>
      </c>
      <c r="B646" t="s">
        <v>28</v>
      </c>
      <c r="C646" t="s">
        <v>14</v>
      </c>
      <c r="D646" t="s">
        <v>15</v>
      </c>
      <c r="E646">
        <v>52000</v>
      </c>
      <c r="F646" t="s">
        <v>16</v>
      </c>
      <c r="G646">
        <v>52000</v>
      </c>
      <c r="H646" t="s">
        <v>46</v>
      </c>
      <c r="I646">
        <v>0</v>
      </c>
      <c r="J646" t="s">
        <v>46</v>
      </c>
      <c r="K646" t="s">
        <v>18</v>
      </c>
      <c r="L646" s="3">
        <f t="shared" si="20"/>
        <v>-54765.370944992945</v>
      </c>
      <c r="M646" s="3">
        <f t="shared" si="21"/>
        <v>2999245854.7426772</v>
      </c>
    </row>
    <row r="647" spans="1:13" customFormat="1">
      <c r="A647">
        <v>2022</v>
      </c>
      <c r="B647" t="s">
        <v>13</v>
      </c>
      <c r="C647" t="s">
        <v>14</v>
      </c>
      <c r="D647" t="s">
        <v>15</v>
      </c>
      <c r="E647">
        <v>129000</v>
      </c>
      <c r="F647" t="s">
        <v>16</v>
      </c>
      <c r="G647">
        <v>129000</v>
      </c>
      <c r="H647" t="s">
        <v>17</v>
      </c>
      <c r="I647">
        <v>0</v>
      </c>
      <c r="J647" t="s">
        <v>17</v>
      </c>
      <c r="K647" t="s">
        <v>18</v>
      </c>
      <c r="L647" s="3">
        <f t="shared" si="20"/>
        <v>22234.629055007055</v>
      </c>
      <c r="M647" s="3">
        <f t="shared" si="21"/>
        <v>494378729.21376395</v>
      </c>
    </row>
    <row r="648" spans="1:13" customFormat="1">
      <c r="A648">
        <v>2022</v>
      </c>
      <c r="B648" t="s">
        <v>13</v>
      </c>
      <c r="C648" t="s">
        <v>14</v>
      </c>
      <c r="D648" t="s">
        <v>15</v>
      </c>
      <c r="E648">
        <v>99000</v>
      </c>
      <c r="F648" t="s">
        <v>16</v>
      </c>
      <c r="G648">
        <v>99000</v>
      </c>
      <c r="H648" t="s">
        <v>17</v>
      </c>
      <c r="I648">
        <v>0</v>
      </c>
      <c r="J648" t="s">
        <v>17</v>
      </c>
      <c r="K648" t="s">
        <v>18</v>
      </c>
      <c r="L648" s="3">
        <f t="shared" si="20"/>
        <v>-7765.3709449929447</v>
      </c>
      <c r="M648" s="3">
        <f t="shared" si="21"/>
        <v>60300985.913340621</v>
      </c>
    </row>
    <row r="649" spans="1:13" customFormat="1">
      <c r="A649">
        <v>2022</v>
      </c>
      <c r="B649" t="s">
        <v>13</v>
      </c>
      <c r="C649" t="s">
        <v>14</v>
      </c>
      <c r="D649" t="s">
        <v>15</v>
      </c>
      <c r="E649">
        <v>100000</v>
      </c>
      <c r="F649" t="s">
        <v>16</v>
      </c>
      <c r="G649">
        <v>100000</v>
      </c>
      <c r="H649" t="s">
        <v>17</v>
      </c>
      <c r="I649">
        <v>100</v>
      </c>
      <c r="J649" t="s">
        <v>17</v>
      </c>
      <c r="K649" t="s">
        <v>18</v>
      </c>
      <c r="L649" s="3">
        <f t="shared" si="20"/>
        <v>-6765.3709449929447</v>
      </c>
      <c r="M649" s="3">
        <f t="shared" si="21"/>
        <v>45770244.023354732</v>
      </c>
    </row>
    <row r="650" spans="1:13" customFormat="1">
      <c r="A650">
        <v>2022</v>
      </c>
      <c r="B650" t="s">
        <v>13</v>
      </c>
      <c r="C650" t="s">
        <v>14</v>
      </c>
      <c r="D650" t="s">
        <v>15</v>
      </c>
      <c r="E650">
        <v>69000</v>
      </c>
      <c r="F650" t="s">
        <v>16</v>
      </c>
      <c r="G650">
        <v>69000</v>
      </c>
      <c r="H650" t="s">
        <v>17</v>
      </c>
      <c r="I650">
        <v>100</v>
      </c>
      <c r="J650" t="s">
        <v>17</v>
      </c>
      <c r="K650" t="s">
        <v>18</v>
      </c>
      <c r="L650" s="3">
        <f t="shared" si="20"/>
        <v>-37765.370944992945</v>
      </c>
      <c r="M650" s="3">
        <f t="shared" si="21"/>
        <v>1426223242.6129172</v>
      </c>
    </row>
    <row r="651" spans="1:13" customFormat="1">
      <c r="A651">
        <v>2022</v>
      </c>
      <c r="B651" t="s">
        <v>13</v>
      </c>
      <c r="C651" t="s">
        <v>14</v>
      </c>
      <c r="D651" t="s">
        <v>15</v>
      </c>
      <c r="E651">
        <v>150075</v>
      </c>
      <c r="F651" t="s">
        <v>16</v>
      </c>
      <c r="G651">
        <v>150075</v>
      </c>
      <c r="H651" t="s">
        <v>17</v>
      </c>
      <c r="I651">
        <v>100</v>
      </c>
      <c r="J651" t="s">
        <v>17</v>
      </c>
      <c r="K651" t="s">
        <v>18</v>
      </c>
      <c r="L651" s="3">
        <f t="shared" si="20"/>
        <v>43309.629055007055</v>
      </c>
      <c r="M651" s="3">
        <f t="shared" si="21"/>
        <v>1875723968.8823113</v>
      </c>
    </row>
    <row r="652" spans="1:13" customFormat="1">
      <c r="A652">
        <v>2022</v>
      </c>
      <c r="B652" t="s">
        <v>13</v>
      </c>
      <c r="C652" t="s">
        <v>14</v>
      </c>
      <c r="D652" t="s">
        <v>15</v>
      </c>
      <c r="E652">
        <v>110925</v>
      </c>
      <c r="F652" t="s">
        <v>16</v>
      </c>
      <c r="G652">
        <v>110925</v>
      </c>
      <c r="H652" t="s">
        <v>17</v>
      </c>
      <c r="I652">
        <v>100</v>
      </c>
      <c r="J652" t="s">
        <v>17</v>
      </c>
      <c r="K652" t="s">
        <v>18</v>
      </c>
      <c r="L652" s="3">
        <f t="shared" si="20"/>
        <v>4159.6290550070553</v>
      </c>
      <c r="M652" s="3">
        <f t="shared" si="21"/>
        <v>17302513.875258889</v>
      </c>
    </row>
    <row r="653" spans="1:13" customFormat="1">
      <c r="A653">
        <v>2022</v>
      </c>
      <c r="B653" t="s">
        <v>13</v>
      </c>
      <c r="C653" t="s">
        <v>14</v>
      </c>
      <c r="D653" t="s">
        <v>15</v>
      </c>
      <c r="E653">
        <v>126500</v>
      </c>
      <c r="F653" t="s">
        <v>16</v>
      </c>
      <c r="G653">
        <v>126500</v>
      </c>
      <c r="H653" t="s">
        <v>17</v>
      </c>
      <c r="I653">
        <v>100</v>
      </c>
      <c r="J653" t="s">
        <v>17</v>
      </c>
      <c r="K653" t="s">
        <v>18</v>
      </c>
      <c r="L653" s="3">
        <f t="shared" si="20"/>
        <v>19734.629055007055</v>
      </c>
      <c r="M653" s="3">
        <f t="shared" si="21"/>
        <v>389455583.93872863</v>
      </c>
    </row>
    <row r="654" spans="1:13" customFormat="1">
      <c r="A654">
        <v>2022</v>
      </c>
      <c r="B654" t="s">
        <v>13</v>
      </c>
      <c r="C654" t="s">
        <v>14</v>
      </c>
      <c r="D654" t="s">
        <v>15</v>
      </c>
      <c r="E654">
        <v>106260</v>
      </c>
      <c r="F654" t="s">
        <v>16</v>
      </c>
      <c r="G654">
        <v>106260</v>
      </c>
      <c r="H654" t="s">
        <v>17</v>
      </c>
      <c r="I654">
        <v>100</v>
      </c>
      <c r="J654" t="s">
        <v>17</v>
      </c>
      <c r="K654" t="s">
        <v>18</v>
      </c>
      <c r="L654" s="3">
        <f t="shared" si="20"/>
        <v>-505.37094499294471</v>
      </c>
      <c r="M654" s="3">
        <f t="shared" si="21"/>
        <v>255399.79204306196</v>
      </c>
    </row>
    <row r="655" spans="1:13" customFormat="1">
      <c r="A655">
        <v>2022</v>
      </c>
      <c r="B655" t="s">
        <v>13</v>
      </c>
      <c r="C655" t="s">
        <v>14</v>
      </c>
      <c r="D655" t="s">
        <v>15</v>
      </c>
      <c r="E655">
        <v>105000</v>
      </c>
      <c r="F655" t="s">
        <v>16</v>
      </c>
      <c r="G655">
        <v>105000</v>
      </c>
      <c r="H655" t="s">
        <v>17</v>
      </c>
      <c r="I655">
        <v>100</v>
      </c>
      <c r="J655" t="s">
        <v>17</v>
      </c>
      <c r="K655" t="s">
        <v>18</v>
      </c>
      <c r="L655" s="3">
        <f t="shared" si="20"/>
        <v>-1765.3709449929447</v>
      </c>
      <c r="M655" s="3">
        <f t="shared" si="21"/>
        <v>3116534.5734252827</v>
      </c>
    </row>
    <row r="656" spans="1:13" customFormat="1">
      <c r="A656">
        <v>2022</v>
      </c>
      <c r="B656" t="s">
        <v>13</v>
      </c>
      <c r="C656" t="s">
        <v>14</v>
      </c>
      <c r="D656" t="s">
        <v>15</v>
      </c>
      <c r="E656">
        <v>100000</v>
      </c>
      <c r="F656" t="s">
        <v>16</v>
      </c>
      <c r="G656">
        <v>100000</v>
      </c>
      <c r="H656" t="s">
        <v>17</v>
      </c>
      <c r="I656">
        <v>100</v>
      </c>
      <c r="J656" t="s">
        <v>17</v>
      </c>
      <c r="K656" t="s">
        <v>18</v>
      </c>
      <c r="L656" s="3">
        <f t="shared" si="20"/>
        <v>-6765.3709449929447</v>
      </c>
      <c r="M656" s="3">
        <f t="shared" si="21"/>
        <v>45770244.023354732</v>
      </c>
    </row>
    <row r="657" spans="1:13" customFormat="1">
      <c r="A657">
        <v>2022</v>
      </c>
      <c r="B657" t="s">
        <v>13</v>
      </c>
      <c r="C657" t="s">
        <v>14</v>
      </c>
      <c r="D657" t="s">
        <v>15</v>
      </c>
      <c r="E657">
        <v>170000</v>
      </c>
      <c r="F657" t="s">
        <v>16</v>
      </c>
      <c r="G657">
        <v>170000</v>
      </c>
      <c r="H657" t="s">
        <v>17</v>
      </c>
      <c r="I657">
        <v>100</v>
      </c>
      <c r="J657" t="s">
        <v>17</v>
      </c>
      <c r="K657" t="s">
        <v>18</v>
      </c>
      <c r="L657" s="3">
        <f t="shared" si="20"/>
        <v>63234.629055007055</v>
      </c>
      <c r="M657" s="3">
        <f t="shared" si="21"/>
        <v>3998618311.7243423</v>
      </c>
    </row>
    <row r="658" spans="1:13" customFormat="1">
      <c r="A658">
        <v>2022</v>
      </c>
      <c r="B658" t="s">
        <v>13</v>
      </c>
      <c r="C658" t="s">
        <v>14</v>
      </c>
      <c r="D658" t="s">
        <v>15</v>
      </c>
      <c r="E658">
        <v>135000</v>
      </c>
      <c r="F658" t="s">
        <v>16</v>
      </c>
      <c r="G658">
        <v>135000</v>
      </c>
      <c r="H658" t="s">
        <v>17</v>
      </c>
      <c r="I658">
        <v>100</v>
      </c>
      <c r="J658" t="s">
        <v>17</v>
      </c>
      <c r="K658" t="s">
        <v>18</v>
      </c>
      <c r="L658" s="3">
        <f t="shared" si="20"/>
        <v>28234.629055007055</v>
      </c>
      <c r="M658" s="3">
        <f t="shared" si="21"/>
        <v>797194277.87384856</v>
      </c>
    </row>
    <row r="659" spans="1:13" customFormat="1">
      <c r="A659">
        <v>2022</v>
      </c>
      <c r="B659" t="s">
        <v>19</v>
      </c>
      <c r="C659" t="s">
        <v>14</v>
      </c>
      <c r="D659" t="s">
        <v>15</v>
      </c>
      <c r="E659">
        <v>135000</v>
      </c>
      <c r="F659" t="s">
        <v>16</v>
      </c>
      <c r="G659">
        <v>135000</v>
      </c>
      <c r="H659" t="s">
        <v>17</v>
      </c>
      <c r="I659">
        <v>100</v>
      </c>
      <c r="J659" t="s">
        <v>17</v>
      </c>
      <c r="K659" t="s">
        <v>18</v>
      </c>
      <c r="L659" s="3">
        <f t="shared" si="20"/>
        <v>28234.629055007055</v>
      </c>
      <c r="M659" s="3">
        <f t="shared" si="21"/>
        <v>797194277.87384856</v>
      </c>
    </row>
    <row r="660" spans="1:13" customFormat="1">
      <c r="A660">
        <v>2022</v>
      </c>
      <c r="B660" t="s">
        <v>19</v>
      </c>
      <c r="C660" t="s">
        <v>14</v>
      </c>
      <c r="D660" t="s">
        <v>15</v>
      </c>
      <c r="E660">
        <v>50000</v>
      </c>
      <c r="F660" t="s">
        <v>16</v>
      </c>
      <c r="G660">
        <v>50000</v>
      </c>
      <c r="H660" t="s">
        <v>17</v>
      </c>
      <c r="I660">
        <v>100</v>
      </c>
      <c r="J660" t="s">
        <v>17</v>
      </c>
      <c r="K660" t="s">
        <v>18</v>
      </c>
      <c r="L660" s="3">
        <f t="shared" si="20"/>
        <v>-56765.370944992945</v>
      </c>
      <c r="M660" s="3">
        <f t="shared" si="21"/>
        <v>3222307338.5226493</v>
      </c>
    </row>
    <row r="661" spans="1:13" customFormat="1">
      <c r="A661">
        <v>2022</v>
      </c>
      <c r="B661" t="s">
        <v>19</v>
      </c>
      <c r="C661" t="s">
        <v>14</v>
      </c>
      <c r="D661" t="s">
        <v>40</v>
      </c>
      <c r="E661">
        <v>1400000</v>
      </c>
      <c r="F661" t="s">
        <v>52</v>
      </c>
      <c r="G661">
        <v>17805</v>
      </c>
      <c r="H661" t="s">
        <v>53</v>
      </c>
      <c r="I661">
        <v>100</v>
      </c>
      <c r="J661" t="s">
        <v>53</v>
      </c>
      <c r="K661" t="s">
        <v>18</v>
      </c>
      <c r="L661" s="3">
        <f t="shared" si="20"/>
        <v>-88960.370944992945</v>
      </c>
      <c r="M661" s="3">
        <f t="shared" si="21"/>
        <v>7913947598.6707449</v>
      </c>
    </row>
    <row r="662" spans="1:13" customFormat="1">
      <c r="A662">
        <v>2022</v>
      </c>
      <c r="B662" t="s">
        <v>19</v>
      </c>
      <c r="C662" t="s">
        <v>14</v>
      </c>
      <c r="D662" t="s">
        <v>40</v>
      </c>
      <c r="E662">
        <v>90000</v>
      </c>
      <c r="F662" t="s">
        <v>47</v>
      </c>
      <c r="G662">
        <v>69133</v>
      </c>
      <c r="H662" t="s">
        <v>46</v>
      </c>
      <c r="I662">
        <v>50</v>
      </c>
      <c r="J662" t="s">
        <v>46</v>
      </c>
      <c r="K662" t="s">
        <v>31</v>
      </c>
      <c r="L662" s="3">
        <f t="shared" si="20"/>
        <v>-37632.370944992945</v>
      </c>
      <c r="M662" s="3">
        <f t="shared" si="21"/>
        <v>1416195342.9415491</v>
      </c>
    </row>
    <row r="663" spans="1:13" customFormat="1">
      <c r="A663">
        <v>2022</v>
      </c>
      <c r="B663" t="s">
        <v>19</v>
      </c>
      <c r="C663" t="s">
        <v>14</v>
      </c>
      <c r="D663" t="s">
        <v>15</v>
      </c>
      <c r="E663">
        <v>20000</v>
      </c>
      <c r="F663" t="s">
        <v>16</v>
      </c>
      <c r="G663">
        <v>20000</v>
      </c>
      <c r="H663" t="s">
        <v>69</v>
      </c>
      <c r="I663">
        <v>100</v>
      </c>
      <c r="J663" t="s">
        <v>69</v>
      </c>
      <c r="K663" t="s">
        <v>57</v>
      </c>
      <c r="L663" s="3">
        <f t="shared" si="20"/>
        <v>-86765.370944992945</v>
      </c>
      <c r="M663" s="3">
        <f t="shared" si="21"/>
        <v>7528229595.2222261</v>
      </c>
    </row>
    <row r="664" spans="1:13" customFormat="1">
      <c r="A664">
        <v>2022</v>
      </c>
      <c r="B664" t="s">
        <v>19</v>
      </c>
      <c r="C664" t="s">
        <v>14</v>
      </c>
      <c r="D664" t="s">
        <v>89</v>
      </c>
      <c r="E664">
        <v>75000</v>
      </c>
      <c r="F664" t="s">
        <v>16</v>
      </c>
      <c r="G664">
        <v>75000</v>
      </c>
      <c r="H664" t="s">
        <v>46</v>
      </c>
      <c r="I664">
        <v>100</v>
      </c>
      <c r="J664" t="s">
        <v>46</v>
      </c>
      <c r="K664" t="s">
        <v>57</v>
      </c>
      <c r="L664" s="3">
        <f t="shared" si="20"/>
        <v>-31765.370944992945</v>
      </c>
      <c r="M664" s="3">
        <f t="shared" si="21"/>
        <v>1009038791.2730019</v>
      </c>
    </row>
    <row r="665" spans="1:13" customFormat="1">
      <c r="A665">
        <v>2020</v>
      </c>
      <c r="B665" t="s">
        <v>19</v>
      </c>
      <c r="C665" t="s">
        <v>14</v>
      </c>
      <c r="D665" t="s">
        <v>67</v>
      </c>
      <c r="E665">
        <v>20000</v>
      </c>
      <c r="F665" t="s">
        <v>16</v>
      </c>
      <c r="G665">
        <v>20000</v>
      </c>
      <c r="H665" t="s">
        <v>90</v>
      </c>
      <c r="I665">
        <v>0</v>
      </c>
      <c r="J665" t="s">
        <v>90</v>
      </c>
      <c r="K665" t="s">
        <v>57</v>
      </c>
      <c r="L665" s="3">
        <f t="shared" si="20"/>
        <v>-86765.370944992945</v>
      </c>
      <c r="M665" s="3">
        <f t="shared" si="21"/>
        <v>7528229595.2222261</v>
      </c>
    </row>
    <row r="666" spans="1:13" customFormat="1">
      <c r="A666">
        <v>2022</v>
      </c>
      <c r="B666" t="s">
        <v>13</v>
      </c>
      <c r="C666" t="s">
        <v>14</v>
      </c>
      <c r="D666" t="s">
        <v>70</v>
      </c>
      <c r="E666">
        <v>405000</v>
      </c>
      <c r="F666" t="s">
        <v>16</v>
      </c>
      <c r="G666">
        <v>405000</v>
      </c>
      <c r="H666" t="s">
        <v>17</v>
      </c>
      <c r="I666">
        <v>100</v>
      </c>
      <c r="J666" t="s">
        <v>17</v>
      </c>
      <c r="K666" t="s">
        <v>31</v>
      </c>
      <c r="L666" s="3">
        <f t="shared" si="20"/>
        <v>298234.62905500707</v>
      </c>
      <c r="M666" s="3">
        <f t="shared" si="21"/>
        <v>88943893967.577667</v>
      </c>
    </row>
    <row r="667" spans="1:13" customFormat="1">
      <c r="A667">
        <v>2021</v>
      </c>
      <c r="B667" t="s">
        <v>19</v>
      </c>
      <c r="C667" t="s">
        <v>14</v>
      </c>
      <c r="D667" t="s">
        <v>15</v>
      </c>
      <c r="E667">
        <v>135000</v>
      </c>
      <c r="F667" t="s">
        <v>16</v>
      </c>
      <c r="G667">
        <v>135000</v>
      </c>
      <c r="H667" t="s">
        <v>17</v>
      </c>
      <c r="I667">
        <v>100</v>
      </c>
      <c r="J667" t="s">
        <v>17</v>
      </c>
      <c r="K667" t="s">
        <v>31</v>
      </c>
      <c r="L667" s="3">
        <f t="shared" si="20"/>
        <v>28234.629055007055</v>
      </c>
      <c r="M667" s="3">
        <f t="shared" si="21"/>
        <v>797194277.87384856</v>
      </c>
    </row>
    <row r="668" spans="1:13" customFormat="1">
      <c r="A668">
        <v>2021</v>
      </c>
      <c r="B668" t="s">
        <v>19</v>
      </c>
      <c r="C668" t="s">
        <v>14</v>
      </c>
      <c r="D668" t="s">
        <v>15</v>
      </c>
      <c r="E668">
        <v>90000</v>
      </c>
      <c r="F668" t="s">
        <v>16</v>
      </c>
      <c r="G668">
        <v>90000</v>
      </c>
      <c r="H668" t="s">
        <v>17</v>
      </c>
      <c r="I668">
        <v>100</v>
      </c>
      <c r="J668" t="s">
        <v>17</v>
      </c>
      <c r="K668" t="s">
        <v>18</v>
      </c>
      <c r="L668" s="3">
        <f t="shared" si="20"/>
        <v>-16765.370944992945</v>
      </c>
      <c r="M668" s="3">
        <f t="shared" si="21"/>
        <v>281077662.9232136</v>
      </c>
    </row>
    <row r="669" spans="1:13" customFormat="1">
      <c r="A669">
        <v>2022</v>
      </c>
      <c r="B669" t="s">
        <v>28</v>
      </c>
      <c r="C669" t="s">
        <v>14</v>
      </c>
      <c r="D669" t="s">
        <v>51</v>
      </c>
      <c r="E669">
        <v>100000</v>
      </c>
      <c r="F669" t="s">
        <v>16</v>
      </c>
      <c r="G669">
        <v>100000</v>
      </c>
      <c r="H669" t="s">
        <v>17</v>
      </c>
      <c r="I669">
        <v>50</v>
      </c>
      <c r="J669" t="s">
        <v>17</v>
      </c>
      <c r="K669" t="s">
        <v>31</v>
      </c>
      <c r="L669" s="3">
        <f t="shared" si="20"/>
        <v>-6765.3709449929447</v>
      </c>
      <c r="M669" s="3">
        <f t="shared" si="21"/>
        <v>45770244.023354732</v>
      </c>
    </row>
    <row r="670" spans="1:13" customFormat="1">
      <c r="A670">
        <v>2021</v>
      </c>
      <c r="B670" t="s">
        <v>28</v>
      </c>
      <c r="C670" t="s">
        <v>56</v>
      </c>
      <c r="D670" t="s">
        <v>15</v>
      </c>
      <c r="E670">
        <v>8760</v>
      </c>
      <c r="F670" t="s">
        <v>49</v>
      </c>
      <c r="G670">
        <v>10354</v>
      </c>
      <c r="H670" t="s">
        <v>50</v>
      </c>
      <c r="I670">
        <v>50</v>
      </c>
      <c r="J670" t="s">
        <v>50</v>
      </c>
      <c r="K670" t="s">
        <v>18</v>
      </c>
      <c r="L670" s="3">
        <f t="shared" si="20"/>
        <v>-96411.370944992945</v>
      </c>
      <c r="M670" s="3">
        <f t="shared" si="21"/>
        <v>9295152447.4930305</v>
      </c>
    </row>
    <row r="671" spans="1:13" customFormat="1">
      <c r="A671">
        <v>2021</v>
      </c>
      <c r="B671" t="s">
        <v>28</v>
      </c>
      <c r="C671" t="s">
        <v>14</v>
      </c>
      <c r="D671" t="s">
        <v>15</v>
      </c>
      <c r="E671">
        <v>50000</v>
      </c>
      <c r="F671" t="s">
        <v>16</v>
      </c>
      <c r="G671">
        <v>50000</v>
      </c>
      <c r="H671" t="s">
        <v>17</v>
      </c>
      <c r="I671">
        <v>100</v>
      </c>
      <c r="J671" t="s">
        <v>17</v>
      </c>
      <c r="K671" t="s">
        <v>18</v>
      </c>
      <c r="L671" s="3">
        <f t="shared" si="20"/>
        <v>-56765.370944992945</v>
      </c>
      <c r="M671" s="3">
        <f t="shared" si="21"/>
        <v>3222307338.5226493</v>
      </c>
    </row>
    <row r="672" spans="1:13" customFormat="1">
      <c r="A672">
        <v>2021</v>
      </c>
      <c r="B672" t="s">
        <v>28</v>
      </c>
      <c r="C672" t="s">
        <v>14</v>
      </c>
      <c r="D672" t="s">
        <v>60</v>
      </c>
      <c r="E672">
        <v>55000</v>
      </c>
      <c r="F672" t="s">
        <v>16</v>
      </c>
      <c r="G672">
        <v>55000</v>
      </c>
      <c r="H672" t="s">
        <v>17</v>
      </c>
      <c r="I672">
        <v>50</v>
      </c>
      <c r="J672" t="s">
        <v>17</v>
      </c>
      <c r="K672" t="s">
        <v>57</v>
      </c>
      <c r="L672" s="3">
        <f t="shared" si="20"/>
        <v>-51765.370944992945</v>
      </c>
      <c r="M672" s="3">
        <f t="shared" si="21"/>
        <v>2679653629.0727196</v>
      </c>
    </row>
    <row r="673" spans="1:13" customFormat="1">
      <c r="A673">
        <v>2021</v>
      </c>
      <c r="B673" t="s">
        <v>13</v>
      </c>
      <c r="C673" t="s">
        <v>14</v>
      </c>
      <c r="D673" t="s">
        <v>36</v>
      </c>
      <c r="E673">
        <v>120000</v>
      </c>
      <c r="F673" t="s">
        <v>16</v>
      </c>
      <c r="G673">
        <v>120000</v>
      </c>
      <c r="H673" t="s">
        <v>17</v>
      </c>
      <c r="I673">
        <v>100</v>
      </c>
      <c r="J673" t="s">
        <v>17</v>
      </c>
      <c r="K673" t="s">
        <v>18</v>
      </c>
      <c r="L673" s="3">
        <f t="shared" si="20"/>
        <v>13234.629055007055</v>
      </c>
      <c r="M673" s="3">
        <f t="shared" si="21"/>
        <v>175155406.22363696</v>
      </c>
    </row>
    <row r="674" spans="1:13" customFormat="1">
      <c r="A674">
        <v>2020</v>
      </c>
      <c r="B674" t="s">
        <v>19</v>
      </c>
      <c r="C674" t="s">
        <v>14</v>
      </c>
      <c r="D674" t="s">
        <v>15</v>
      </c>
      <c r="E674">
        <v>41000</v>
      </c>
      <c r="F674" t="s">
        <v>49</v>
      </c>
      <c r="G674">
        <v>46759</v>
      </c>
      <c r="H674" t="s">
        <v>77</v>
      </c>
      <c r="I674">
        <v>50</v>
      </c>
      <c r="J674" t="s">
        <v>77</v>
      </c>
      <c r="K674" t="s">
        <v>31</v>
      </c>
      <c r="L674" s="3">
        <f t="shared" si="20"/>
        <v>-60006.370944992945</v>
      </c>
      <c r="M674" s="3">
        <f t="shared" si="21"/>
        <v>3600764553.9880934</v>
      </c>
    </row>
    <row r="675" spans="1:13" customFormat="1">
      <c r="A675">
        <v>2021</v>
      </c>
      <c r="B675" t="s">
        <v>28</v>
      </c>
      <c r="C675" t="s">
        <v>14</v>
      </c>
      <c r="D675" t="s">
        <v>15</v>
      </c>
      <c r="E675">
        <v>90000</v>
      </c>
      <c r="F675" t="s">
        <v>16</v>
      </c>
      <c r="G675">
        <v>90000</v>
      </c>
      <c r="H675" t="s">
        <v>17</v>
      </c>
      <c r="I675">
        <v>100</v>
      </c>
      <c r="J675" t="s">
        <v>17</v>
      </c>
      <c r="K675" t="s">
        <v>57</v>
      </c>
      <c r="L675" s="3">
        <f t="shared" si="20"/>
        <v>-16765.370944992945</v>
      </c>
      <c r="M675" s="3">
        <f t="shared" si="21"/>
        <v>281077662.9232136</v>
      </c>
    </row>
    <row r="676" spans="1:13" customFormat="1">
      <c r="A676">
        <v>2021</v>
      </c>
      <c r="B676" t="s">
        <v>28</v>
      </c>
      <c r="C676" t="s">
        <v>14</v>
      </c>
      <c r="D676" t="s">
        <v>15</v>
      </c>
      <c r="E676">
        <v>60000</v>
      </c>
      <c r="F676" t="s">
        <v>16</v>
      </c>
      <c r="G676">
        <v>60000</v>
      </c>
      <c r="H676" t="s">
        <v>17</v>
      </c>
      <c r="I676">
        <v>100</v>
      </c>
      <c r="J676" t="s">
        <v>17</v>
      </c>
      <c r="K676" t="s">
        <v>57</v>
      </c>
      <c r="L676" s="3">
        <f t="shared" si="20"/>
        <v>-46765.370944992945</v>
      </c>
      <c r="M676" s="3">
        <f t="shared" si="21"/>
        <v>2186999919.6227903</v>
      </c>
    </row>
    <row r="677" spans="1:13" customFormat="1">
      <c r="A677">
        <v>2021</v>
      </c>
      <c r="B677" t="s">
        <v>28</v>
      </c>
      <c r="C677" t="s">
        <v>14</v>
      </c>
      <c r="D677" t="s">
        <v>15</v>
      </c>
      <c r="E677">
        <v>50000</v>
      </c>
      <c r="F677" t="s">
        <v>49</v>
      </c>
      <c r="G677">
        <v>59102</v>
      </c>
      <c r="H677" t="s">
        <v>77</v>
      </c>
      <c r="I677">
        <v>50</v>
      </c>
      <c r="J677" t="s">
        <v>77</v>
      </c>
      <c r="K677" t="s">
        <v>18</v>
      </c>
      <c r="L677" s="3">
        <f t="shared" si="20"/>
        <v>-47663.370944992945</v>
      </c>
      <c r="M677" s="3">
        <f t="shared" si="21"/>
        <v>2271796929.8399978</v>
      </c>
    </row>
    <row r="678" spans="1:13" customFormat="1">
      <c r="A678">
        <v>2021</v>
      </c>
      <c r="B678" t="s">
        <v>13</v>
      </c>
      <c r="C678" t="s">
        <v>14</v>
      </c>
      <c r="D678" t="s">
        <v>15</v>
      </c>
      <c r="E678">
        <v>80000</v>
      </c>
      <c r="F678" t="s">
        <v>16</v>
      </c>
      <c r="G678">
        <v>80000</v>
      </c>
      <c r="H678" t="s">
        <v>91</v>
      </c>
      <c r="I678">
        <v>100</v>
      </c>
      <c r="J678" t="s">
        <v>17</v>
      </c>
      <c r="K678" t="s">
        <v>57</v>
      </c>
      <c r="L678" s="3">
        <f t="shared" si="20"/>
        <v>-26765.370944992945</v>
      </c>
      <c r="M678" s="3">
        <f t="shared" si="21"/>
        <v>716385081.82307255</v>
      </c>
    </row>
    <row r="679" spans="1:13" customFormat="1">
      <c r="A679">
        <v>2020</v>
      </c>
      <c r="B679" t="s">
        <v>28</v>
      </c>
      <c r="C679" t="s">
        <v>14</v>
      </c>
      <c r="D679" t="s">
        <v>15</v>
      </c>
      <c r="E679">
        <v>10000</v>
      </c>
      <c r="F679" t="s">
        <v>16</v>
      </c>
      <c r="G679">
        <v>10000</v>
      </c>
      <c r="H679" t="s">
        <v>30</v>
      </c>
      <c r="I679">
        <v>100</v>
      </c>
      <c r="J679" t="s">
        <v>30</v>
      </c>
      <c r="K679" t="s">
        <v>57</v>
      </c>
      <c r="L679" s="3">
        <f t="shared" si="20"/>
        <v>-96765.370944992945</v>
      </c>
      <c r="M679" s="3">
        <f t="shared" si="21"/>
        <v>9363537014.1220856</v>
      </c>
    </row>
    <row r="680" spans="1:13" customFormat="1">
      <c r="A680">
        <v>2021</v>
      </c>
      <c r="B680" t="s">
        <v>13</v>
      </c>
      <c r="C680" t="s">
        <v>14</v>
      </c>
      <c r="D680" t="s">
        <v>48</v>
      </c>
      <c r="E680">
        <v>170000</v>
      </c>
      <c r="F680" t="s">
        <v>16</v>
      </c>
      <c r="G680">
        <v>170000</v>
      </c>
      <c r="H680" t="s">
        <v>17</v>
      </c>
      <c r="I680">
        <v>100</v>
      </c>
      <c r="J680" t="s">
        <v>17</v>
      </c>
      <c r="K680" t="s">
        <v>31</v>
      </c>
      <c r="L680" s="3">
        <f t="shared" si="20"/>
        <v>63234.629055007055</v>
      </c>
      <c r="M680" s="3">
        <f t="shared" si="21"/>
        <v>3998618311.7243423</v>
      </c>
    </row>
    <row r="681" spans="1:13" customFormat="1">
      <c r="A681">
        <v>2021</v>
      </c>
      <c r="B681" t="s">
        <v>28</v>
      </c>
      <c r="C681" t="s">
        <v>14</v>
      </c>
      <c r="D681" t="s">
        <v>15</v>
      </c>
      <c r="E681">
        <v>80000</v>
      </c>
      <c r="F681" t="s">
        <v>16</v>
      </c>
      <c r="G681">
        <v>80000</v>
      </c>
      <c r="H681" t="s">
        <v>17</v>
      </c>
      <c r="I681">
        <v>100</v>
      </c>
      <c r="J681" t="s">
        <v>17</v>
      </c>
      <c r="K681" t="s">
        <v>18</v>
      </c>
      <c r="L681" s="3">
        <f t="shared" si="20"/>
        <v>-26765.370944992945</v>
      </c>
      <c r="M681" s="3">
        <f t="shared" si="21"/>
        <v>716385081.82307255</v>
      </c>
    </row>
    <row r="682" spans="1:13" customFormat="1">
      <c r="A682">
        <v>2021</v>
      </c>
      <c r="B682" t="s">
        <v>19</v>
      </c>
      <c r="C682" t="s">
        <v>14</v>
      </c>
      <c r="D682" t="s">
        <v>60</v>
      </c>
      <c r="E682">
        <v>100000</v>
      </c>
      <c r="F682" t="s">
        <v>16</v>
      </c>
      <c r="G682">
        <v>100000</v>
      </c>
      <c r="H682" t="s">
        <v>17</v>
      </c>
      <c r="I682">
        <v>100</v>
      </c>
      <c r="J682" t="s">
        <v>17</v>
      </c>
      <c r="K682" t="s">
        <v>18</v>
      </c>
      <c r="L682" s="3">
        <f t="shared" si="20"/>
        <v>-6765.3709449929447</v>
      </c>
      <c r="M682" s="3">
        <f t="shared" si="21"/>
        <v>45770244.023354732</v>
      </c>
    </row>
    <row r="683" spans="1:13" customFormat="1">
      <c r="A683">
        <v>2021</v>
      </c>
      <c r="B683" t="s">
        <v>44</v>
      </c>
      <c r="C683" t="s">
        <v>14</v>
      </c>
      <c r="D683" t="s">
        <v>60</v>
      </c>
      <c r="E683">
        <v>150000</v>
      </c>
      <c r="F683" t="s">
        <v>16</v>
      </c>
      <c r="G683">
        <v>150000</v>
      </c>
      <c r="H683" t="s">
        <v>53</v>
      </c>
      <c r="I683">
        <v>100</v>
      </c>
      <c r="J683" t="s">
        <v>17</v>
      </c>
      <c r="K683" t="s">
        <v>31</v>
      </c>
      <c r="L683" s="3">
        <f t="shared" si="20"/>
        <v>43234.629055007055</v>
      </c>
      <c r="M683" s="3">
        <f t="shared" si="21"/>
        <v>1869233149.5240602</v>
      </c>
    </row>
    <row r="684" spans="1:13" customFormat="1">
      <c r="A684">
        <v>2021</v>
      </c>
      <c r="B684" t="s">
        <v>13</v>
      </c>
      <c r="C684" t="s">
        <v>14</v>
      </c>
      <c r="D684" t="s">
        <v>81</v>
      </c>
      <c r="E684">
        <v>75000</v>
      </c>
      <c r="F684" t="s">
        <v>49</v>
      </c>
      <c r="G684">
        <v>88654</v>
      </c>
      <c r="H684" t="s">
        <v>69</v>
      </c>
      <c r="I684">
        <v>100</v>
      </c>
      <c r="J684" t="s">
        <v>92</v>
      </c>
      <c r="K684" t="s">
        <v>31</v>
      </c>
      <c r="L684" s="3">
        <f t="shared" si="20"/>
        <v>-18111.370944992945</v>
      </c>
      <c r="M684" s="3">
        <f t="shared" si="21"/>
        <v>328021757.50713462</v>
      </c>
    </row>
    <row r="685" spans="1:13" customFormat="1">
      <c r="A685">
        <v>2021</v>
      </c>
      <c r="B685" t="s">
        <v>19</v>
      </c>
      <c r="C685" t="s">
        <v>14</v>
      </c>
      <c r="D685" t="s">
        <v>15</v>
      </c>
      <c r="E685">
        <v>37456</v>
      </c>
      <c r="F685" t="s">
        <v>41</v>
      </c>
      <c r="G685">
        <v>51519</v>
      </c>
      <c r="H685" t="s">
        <v>42</v>
      </c>
      <c r="I685">
        <v>50</v>
      </c>
      <c r="J685" t="s">
        <v>42</v>
      </c>
      <c r="K685" t="s">
        <v>31</v>
      </c>
      <c r="L685" s="3">
        <f t="shared" si="20"/>
        <v>-55246.370944992945</v>
      </c>
      <c r="M685" s="3">
        <f t="shared" si="21"/>
        <v>3052161502.5917606</v>
      </c>
    </row>
    <row r="686" spans="1:13" customFormat="1">
      <c r="A686">
        <v>2021</v>
      </c>
      <c r="B686" t="s">
        <v>19</v>
      </c>
      <c r="C686" t="s">
        <v>14</v>
      </c>
      <c r="D686" t="s">
        <v>60</v>
      </c>
      <c r="E686">
        <v>11000000</v>
      </c>
      <c r="F686" t="s">
        <v>93</v>
      </c>
      <c r="G686">
        <v>36259</v>
      </c>
      <c r="H686" t="s">
        <v>94</v>
      </c>
      <c r="I686">
        <v>50</v>
      </c>
      <c r="J686" t="s">
        <v>17</v>
      </c>
      <c r="K686" t="s">
        <v>31</v>
      </c>
      <c r="L686" s="3">
        <f t="shared" si="20"/>
        <v>-70506.370944992945</v>
      </c>
      <c r="M686" s="3">
        <f t="shared" si="21"/>
        <v>4971148343.8329449</v>
      </c>
    </row>
    <row r="687" spans="1:13" customFormat="1">
      <c r="A687">
        <v>2021</v>
      </c>
      <c r="B687" t="s">
        <v>19</v>
      </c>
      <c r="C687" t="s">
        <v>14</v>
      </c>
      <c r="D687" t="s">
        <v>15</v>
      </c>
      <c r="E687">
        <v>93000</v>
      </c>
      <c r="F687" t="s">
        <v>16</v>
      </c>
      <c r="G687">
        <v>93000</v>
      </c>
      <c r="H687" t="s">
        <v>17</v>
      </c>
      <c r="I687">
        <v>100</v>
      </c>
      <c r="J687" t="s">
        <v>17</v>
      </c>
      <c r="K687" t="s">
        <v>31</v>
      </c>
      <c r="L687" s="3">
        <f t="shared" si="20"/>
        <v>-13765.370944992945</v>
      </c>
      <c r="M687" s="3">
        <f t="shared" si="21"/>
        <v>189485437.25325596</v>
      </c>
    </row>
    <row r="688" spans="1:13" customFormat="1">
      <c r="A688">
        <v>2020</v>
      </c>
      <c r="B688" t="s">
        <v>28</v>
      </c>
      <c r="C688" t="s">
        <v>14</v>
      </c>
      <c r="D688" t="s">
        <v>15</v>
      </c>
      <c r="E688">
        <v>450000</v>
      </c>
      <c r="F688" t="s">
        <v>52</v>
      </c>
      <c r="G688">
        <v>6072</v>
      </c>
      <c r="H688" t="s">
        <v>53</v>
      </c>
      <c r="I688">
        <v>0</v>
      </c>
      <c r="J688" t="s">
        <v>53</v>
      </c>
      <c r="K688" t="s">
        <v>57</v>
      </c>
      <c r="L688" s="3">
        <f t="shared" si="20"/>
        <v>-100693.37094499294</v>
      </c>
      <c r="M688" s="3">
        <f t="shared" si="21"/>
        <v>10139154952.265949</v>
      </c>
    </row>
    <row r="689" spans="1:13" customFormat="1">
      <c r="A689">
        <v>2021</v>
      </c>
      <c r="B689" t="s">
        <v>13</v>
      </c>
      <c r="C689" t="s">
        <v>14</v>
      </c>
      <c r="D689" t="s">
        <v>89</v>
      </c>
      <c r="E689">
        <v>170000</v>
      </c>
      <c r="F689" t="s">
        <v>16</v>
      </c>
      <c r="G689">
        <v>170000</v>
      </c>
      <c r="H689" t="s">
        <v>17</v>
      </c>
      <c r="I689">
        <v>100</v>
      </c>
      <c r="J689" t="s">
        <v>17</v>
      </c>
      <c r="K689" t="s">
        <v>18</v>
      </c>
      <c r="L689" s="3">
        <f t="shared" si="20"/>
        <v>63234.629055007055</v>
      </c>
      <c r="M689" s="3">
        <f t="shared" si="21"/>
        <v>3998618311.7243423</v>
      </c>
    </row>
    <row r="690" spans="1:13" customFormat="1">
      <c r="A690">
        <v>2020</v>
      </c>
      <c r="B690" t="s">
        <v>28</v>
      </c>
      <c r="C690" t="s">
        <v>14</v>
      </c>
      <c r="D690" t="s">
        <v>15</v>
      </c>
      <c r="E690">
        <v>91000</v>
      </c>
      <c r="F690" t="s">
        <v>16</v>
      </c>
      <c r="G690">
        <v>91000</v>
      </c>
      <c r="H690" t="s">
        <v>17</v>
      </c>
      <c r="I690">
        <v>100</v>
      </c>
      <c r="J690" t="s">
        <v>17</v>
      </c>
      <c r="K690" t="s">
        <v>31</v>
      </c>
      <c r="L690" s="3">
        <f t="shared" si="20"/>
        <v>-15765.370944992945</v>
      </c>
      <c r="M690" s="3">
        <f t="shared" si="21"/>
        <v>248546921.03322774</v>
      </c>
    </row>
    <row r="691" spans="1:13" customFormat="1">
      <c r="A691">
        <v>2021</v>
      </c>
      <c r="B691" t="s">
        <v>19</v>
      </c>
      <c r="C691" t="s">
        <v>14</v>
      </c>
      <c r="D691" t="s">
        <v>15</v>
      </c>
      <c r="E691">
        <v>80000</v>
      </c>
      <c r="F691" t="s">
        <v>16</v>
      </c>
      <c r="G691">
        <v>80000</v>
      </c>
      <c r="H691" t="s">
        <v>17</v>
      </c>
      <c r="I691">
        <v>100</v>
      </c>
      <c r="J691" t="s">
        <v>17</v>
      </c>
      <c r="K691" t="s">
        <v>31</v>
      </c>
      <c r="L691" s="3">
        <f t="shared" si="20"/>
        <v>-26765.370944992945</v>
      </c>
      <c r="M691" s="3">
        <f t="shared" si="21"/>
        <v>716385081.82307255</v>
      </c>
    </row>
    <row r="692" spans="1:13" customFormat="1">
      <c r="A692">
        <v>2021</v>
      </c>
      <c r="B692" t="s">
        <v>13</v>
      </c>
      <c r="C692" t="s">
        <v>14</v>
      </c>
      <c r="D692" t="s">
        <v>15</v>
      </c>
      <c r="E692">
        <v>200000</v>
      </c>
      <c r="F692" t="s">
        <v>16</v>
      </c>
      <c r="G692">
        <v>200000</v>
      </c>
      <c r="H692" t="s">
        <v>17</v>
      </c>
      <c r="I692">
        <v>100</v>
      </c>
      <c r="J692" t="s">
        <v>17</v>
      </c>
      <c r="K692" t="s">
        <v>31</v>
      </c>
      <c r="L692" s="3">
        <f t="shared" si="20"/>
        <v>93234.629055007055</v>
      </c>
      <c r="M692" s="3">
        <f t="shared" si="21"/>
        <v>8692696055.024765</v>
      </c>
    </row>
    <row r="693" spans="1:13" customFormat="1">
      <c r="A693">
        <v>2020</v>
      </c>
      <c r="B693" t="s">
        <v>28</v>
      </c>
      <c r="C693" t="s">
        <v>14</v>
      </c>
      <c r="D693" t="s">
        <v>15</v>
      </c>
      <c r="E693">
        <v>72000</v>
      </c>
      <c r="F693" t="s">
        <v>16</v>
      </c>
      <c r="G693">
        <v>72000</v>
      </c>
      <c r="H693" t="s">
        <v>17</v>
      </c>
      <c r="I693">
        <v>100</v>
      </c>
      <c r="J693" t="s">
        <v>17</v>
      </c>
      <c r="K693" t="s">
        <v>31</v>
      </c>
      <c r="L693" s="3">
        <f t="shared" si="20"/>
        <v>-34765.370944992945</v>
      </c>
      <c r="M693" s="3">
        <f t="shared" si="21"/>
        <v>1208631016.9429595</v>
      </c>
    </row>
    <row r="694" spans="1:13" customFormat="1">
      <c r="A694">
        <v>2021</v>
      </c>
      <c r="B694" t="s">
        <v>13</v>
      </c>
      <c r="C694" t="s">
        <v>14</v>
      </c>
      <c r="D694" t="s">
        <v>15</v>
      </c>
      <c r="E694">
        <v>54000</v>
      </c>
      <c r="F694" t="s">
        <v>49</v>
      </c>
      <c r="G694">
        <v>63831</v>
      </c>
      <c r="H694" t="s">
        <v>61</v>
      </c>
      <c r="I694">
        <v>50</v>
      </c>
      <c r="J694" t="s">
        <v>61</v>
      </c>
      <c r="K694" t="s">
        <v>31</v>
      </c>
      <c r="L694" s="3">
        <f t="shared" si="20"/>
        <v>-42934.370944992945</v>
      </c>
      <c r="M694" s="3">
        <f t="shared" si="21"/>
        <v>1843360208.4422543</v>
      </c>
    </row>
    <row r="695" spans="1:13" customFormat="1">
      <c r="A695">
        <v>2021</v>
      </c>
      <c r="B695" t="s">
        <v>13</v>
      </c>
      <c r="C695" t="s">
        <v>14</v>
      </c>
      <c r="D695" t="s">
        <v>15</v>
      </c>
      <c r="E695">
        <v>90000</v>
      </c>
      <c r="F695" t="s">
        <v>47</v>
      </c>
      <c r="G695">
        <v>71786</v>
      </c>
      <c r="H695" t="s">
        <v>46</v>
      </c>
      <c r="I695">
        <v>100</v>
      </c>
      <c r="J695" t="s">
        <v>46</v>
      </c>
      <c r="K695" t="s">
        <v>18</v>
      </c>
      <c r="L695" s="3">
        <f t="shared" si="20"/>
        <v>-34979.370944992945</v>
      </c>
      <c r="M695" s="3">
        <f t="shared" si="21"/>
        <v>1223556391.7074165</v>
      </c>
    </row>
    <row r="696" spans="1:13" customFormat="1">
      <c r="A696">
        <v>2021</v>
      </c>
      <c r="B696" t="s">
        <v>28</v>
      </c>
      <c r="C696" t="s">
        <v>14</v>
      </c>
      <c r="D696" t="s">
        <v>60</v>
      </c>
      <c r="E696">
        <v>9272</v>
      </c>
      <c r="F696" t="s">
        <v>16</v>
      </c>
      <c r="G696">
        <v>9272</v>
      </c>
      <c r="H696" t="s">
        <v>95</v>
      </c>
      <c r="I696">
        <v>100</v>
      </c>
      <c r="J696" t="s">
        <v>95</v>
      </c>
      <c r="K696" t="s">
        <v>57</v>
      </c>
      <c r="L696" s="3">
        <f t="shared" si="20"/>
        <v>-97493.370944992945</v>
      </c>
      <c r="M696" s="3">
        <f t="shared" si="21"/>
        <v>9504957378.2179947</v>
      </c>
    </row>
    <row r="697" spans="1:13" customFormat="1">
      <c r="A697">
        <v>2020</v>
      </c>
      <c r="B697" t="s">
        <v>19</v>
      </c>
      <c r="C697" t="s">
        <v>14</v>
      </c>
      <c r="D697" t="s">
        <v>40</v>
      </c>
      <c r="E697">
        <v>135000</v>
      </c>
      <c r="F697" t="s">
        <v>16</v>
      </c>
      <c r="G697">
        <v>135000</v>
      </c>
      <c r="H697" t="s">
        <v>17</v>
      </c>
      <c r="I697">
        <v>100</v>
      </c>
      <c r="J697" t="s">
        <v>17</v>
      </c>
      <c r="K697" t="s">
        <v>31</v>
      </c>
      <c r="L697" s="3">
        <f t="shared" si="20"/>
        <v>28234.629055007055</v>
      </c>
      <c r="M697" s="3">
        <f t="shared" si="21"/>
        <v>797194277.87384856</v>
      </c>
    </row>
    <row r="698" spans="1:13" customFormat="1">
      <c r="A698">
        <v>2020</v>
      </c>
      <c r="B698" t="s">
        <v>19</v>
      </c>
      <c r="C698" t="s">
        <v>14</v>
      </c>
      <c r="D698" t="s">
        <v>48</v>
      </c>
      <c r="E698">
        <v>87000</v>
      </c>
      <c r="F698" t="s">
        <v>16</v>
      </c>
      <c r="G698">
        <v>87000</v>
      </c>
      <c r="H698" t="s">
        <v>17</v>
      </c>
      <c r="I698">
        <v>100</v>
      </c>
      <c r="J698" t="s">
        <v>17</v>
      </c>
      <c r="K698" t="s">
        <v>31</v>
      </c>
      <c r="L698" s="3">
        <f t="shared" si="20"/>
        <v>-19765.370944992945</v>
      </c>
      <c r="M698" s="3">
        <f t="shared" si="21"/>
        <v>390669888.5931713</v>
      </c>
    </row>
    <row r="699" spans="1:13" customFormat="1">
      <c r="A699">
        <v>2020</v>
      </c>
      <c r="B699" t="s">
        <v>19</v>
      </c>
      <c r="C699" t="s">
        <v>14</v>
      </c>
      <c r="D699" t="s">
        <v>15</v>
      </c>
      <c r="E699">
        <v>85000</v>
      </c>
      <c r="F699" t="s">
        <v>16</v>
      </c>
      <c r="G699">
        <v>85000</v>
      </c>
      <c r="H699" t="s">
        <v>17</v>
      </c>
      <c r="I699">
        <v>100</v>
      </c>
      <c r="J699" t="s">
        <v>17</v>
      </c>
      <c r="K699" t="s">
        <v>31</v>
      </c>
      <c r="L699" s="3">
        <f t="shared" si="20"/>
        <v>-21765.370944992945</v>
      </c>
      <c r="M699" s="3">
        <f t="shared" si="21"/>
        <v>473731372.37314308</v>
      </c>
    </row>
    <row r="700" spans="1:13" customFormat="1">
      <c r="A700">
        <v>2020</v>
      </c>
      <c r="B700" t="s">
        <v>19</v>
      </c>
      <c r="C700" t="s">
        <v>14</v>
      </c>
      <c r="D700" t="s">
        <v>15</v>
      </c>
      <c r="E700">
        <v>8000</v>
      </c>
      <c r="F700" t="s">
        <v>16</v>
      </c>
      <c r="G700">
        <v>8000</v>
      </c>
      <c r="H700" t="s">
        <v>96</v>
      </c>
      <c r="I700">
        <v>50</v>
      </c>
      <c r="J700" t="s">
        <v>96</v>
      </c>
      <c r="K700" t="s">
        <v>31</v>
      </c>
      <c r="L700" s="3">
        <f t="shared" si="20"/>
        <v>-98765.370944992945</v>
      </c>
      <c r="M700" s="3">
        <f t="shared" si="21"/>
        <v>9754598497.9020557</v>
      </c>
    </row>
    <row r="701" spans="1:13" customFormat="1">
      <c r="A701">
        <v>2020</v>
      </c>
      <c r="B701" t="s">
        <v>19</v>
      </c>
      <c r="C701" t="s">
        <v>14</v>
      </c>
      <c r="D701" t="s">
        <v>67</v>
      </c>
      <c r="E701">
        <v>450000</v>
      </c>
      <c r="F701" t="s">
        <v>52</v>
      </c>
      <c r="G701">
        <v>6072</v>
      </c>
      <c r="H701" t="s">
        <v>53</v>
      </c>
      <c r="I701">
        <v>100</v>
      </c>
      <c r="J701" t="s">
        <v>53</v>
      </c>
      <c r="K701" t="s">
        <v>31</v>
      </c>
      <c r="L701" s="3">
        <f t="shared" si="20"/>
        <v>-100693.37094499294</v>
      </c>
      <c r="M701" s="3">
        <f t="shared" si="21"/>
        <v>10139154952.265949</v>
      </c>
    </row>
    <row r="702" spans="1:13" customFormat="1">
      <c r="A702">
        <v>2020</v>
      </c>
      <c r="B702" t="s">
        <v>19</v>
      </c>
      <c r="C702" t="s">
        <v>14</v>
      </c>
      <c r="D702" t="s">
        <v>60</v>
      </c>
      <c r="E702">
        <v>98000</v>
      </c>
      <c r="F702" t="s">
        <v>16</v>
      </c>
      <c r="G702">
        <v>98000</v>
      </c>
      <c r="H702" t="s">
        <v>17</v>
      </c>
      <c r="I702">
        <v>0</v>
      </c>
      <c r="J702" t="s">
        <v>17</v>
      </c>
      <c r="K702" t="s">
        <v>18</v>
      </c>
      <c r="L702" s="3">
        <f t="shared" si="20"/>
        <v>-8765.3709449929447</v>
      </c>
      <c r="M702" s="3">
        <f t="shared" si="21"/>
        <v>76831727.803326502</v>
      </c>
    </row>
    <row r="703" spans="1:13" customFormat="1">
      <c r="A703">
        <v>2021</v>
      </c>
      <c r="B703" t="s">
        <v>13</v>
      </c>
      <c r="C703" t="s">
        <v>14</v>
      </c>
      <c r="D703" t="s">
        <v>36</v>
      </c>
      <c r="E703">
        <v>120000</v>
      </c>
      <c r="F703" t="s">
        <v>16</v>
      </c>
      <c r="G703">
        <v>120000</v>
      </c>
      <c r="H703" t="s">
        <v>17</v>
      </c>
      <c r="I703">
        <v>0</v>
      </c>
      <c r="J703" t="s">
        <v>17</v>
      </c>
      <c r="K703" t="s">
        <v>31</v>
      </c>
      <c r="L703" s="3">
        <f t="shared" si="20"/>
        <v>13234.629055007055</v>
      </c>
      <c r="M703" s="3">
        <f t="shared" si="21"/>
        <v>175155406.22363696</v>
      </c>
    </row>
    <row r="704" spans="1:13" customFormat="1">
      <c r="A704">
        <v>2021</v>
      </c>
      <c r="B704" t="s">
        <v>13</v>
      </c>
      <c r="C704" t="s">
        <v>14</v>
      </c>
      <c r="D704" t="s">
        <v>36</v>
      </c>
      <c r="E704">
        <v>140000</v>
      </c>
      <c r="F704" t="s">
        <v>16</v>
      </c>
      <c r="G704">
        <v>140000</v>
      </c>
      <c r="H704" t="s">
        <v>17</v>
      </c>
      <c r="I704">
        <v>100</v>
      </c>
      <c r="J704" t="s">
        <v>17</v>
      </c>
      <c r="K704" t="s">
        <v>31</v>
      </c>
      <c r="L704" s="3">
        <f t="shared" si="20"/>
        <v>33234.629055007055</v>
      </c>
      <c r="M704" s="3">
        <f t="shared" si="21"/>
        <v>1104540568.4239192</v>
      </c>
    </row>
    <row r="705" spans="1:13" customFormat="1">
      <c r="A705">
        <v>2021</v>
      </c>
      <c r="B705" t="s">
        <v>13</v>
      </c>
      <c r="C705" t="s">
        <v>14</v>
      </c>
      <c r="D705" t="s">
        <v>97</v>
      </c>
      <c r="E705">
        <v>45000</v>
      </c>
      <c r="F705" t="s">
        <v>41</v>
      </c>
      <c r="G705">
        <v>61896</v>
      </c>
      <c r="H705" t="s">
        <v>42</v>
      </c>
      <c r="I705">
        <v>50</v>
      </c>
      <c r="J705" t="s">
        <v>42</v>
      </c>
      <c r="K705" t="s">
        <v>31</v>
      </c>
      <c r="L705" s="3">
        <f t="shared" si="20"/>
        <v>-44869.370944992945</v>
      </c>
      <c r="M705" s="3">
        <f t="shared" si="21"/>
        <v>2013260448.999377</v>
      </c>
    </row>
    <row r="706" spans="1:13" customFormat="1">
      <c r="A706">
        <v>2021</v>
      </c>
      <c r="B706" t="s">
        <v>28</v>
      </c>
      <c r="C706" t="s">
        <v>14</v>
      </c>
      <c r="D706" t="s">
        <v>40</v>
      </c>
      <c r="E706">
        <v>50000</v>
      </c>
      <c r="F706" t="s">
        <v>49</v>
      </c>
      <c r="G706">
        <v>59102</v>
      </c>
      <c r="H706" t="s">
        <v>98</v>
      </c>
      <c r="I706">
        <v>100</v>
      </c>
      <c r="J706" t="s">
        <v>98</v>
      </c>
      <c r="K706" t="s">
        <v>31</v>
      </c>
      <c r="L706" s="3">
        <f t="shared" si="20"/>
        <v>-47663.370944992945</v>
      </c>
      <c r="M706" s="3">
        <f t="shared" si="21"/>
        <v>2271796929.8399978</v>
      </c>
    </row>
    <row r="707" spans="1:13" customFormat="1">
      <c r="A707">
        <v>2021</v>
      </c>
      <c r="B707" t="s">
        <v>19</v>
      </c>
      <c r="C707" t="s">
        <v>14</v>
      </c>
      <c r="D707" t="s">
        <v>48</v>
      </c>
      <c r="E707">
        <v>1450000</v>
      </c>
      <c r="F707" t="s">
        <v>52</v>
      </c>
      <c r="G707">
        <v>19609</v>
      </c>
      <c r="H707" t="s">
        <v>53</v>
      </c>
      <c r="I707">
        <v>100</v>
      </c>
      <c r="J707" t="s">
        <v>53</v>
      </c>
      <c r="K707" t="s">
        <v>31</v>
      </c>
      <c r="L707" s="3">
        <f t="shared" ref="L707:L710" si="22">G707-$P$5</f>
        <v>-87156.370944992945</v>
      </c>
      <c r="M707" s="3">
        <f t="shared" ref="M707:M710" si="23">L707^2</f>
        <v>7596232996.3012104</v>
      </c>
    </row>
    <row r="708" spans="1:13" customFormat="1">
      <c r="A708">
        <v>2021</v>
      </c>
      <c r="B708" t="s">
        <v>19</v>
      </c>
      <c r="C708" t="s">
        <v>14</v>
      </c>
      <c r="D708" t="s">
        <v>15</v>
      </c>
      <c r="E708">
        <v>75000</v>
      </c>
      <c r="F708" t="s">
        <v>16</v>
      </c>
      <c r="G708">
        <v>75000</v>
      </c>
      <c r="H708" t="s">
        <v>17</v>
      </c>
      <c r="I708">
        <v>0</v>
      </c>
      <c r="J708" t="s">
        <v>17</v>
      </c>
      <c r="K708" t="s">
        <v>31</v>
      </c>
      <c r="L708" s="3">
        <f t="shared" si="22"/>
        <v>-31765.370944992945</v>
      </c>
      <c r="M708" s="3">
        <f t="shared" si="23"/>
        <v>1009038791.2730019</v>
      </c>
    </row>
    <row r="709" spans="1:13" customFormat="1">
      <c r="A709">
        <v>2021</v>
      </c>
      <c r="B709" t="s">
        <v>19</v>
      </c>
      <c r="C709" t="s">
        <v>14</v>
      </c>
      <c r="D709" t="s">
        <v>15</v>
      </c>
      <c r="E709">
        <v>62000</v>
      </c>
      <c r="F709" t="s">
        <v>16</v>
      </c>
      <c r="G709">
        <v>62000</v>
      </c>
      <c r="H709" t="s">
        <v>17</v>
      </c>
      <c r="I709">
        <v>0</v>
      </c>
      <c r="J709" t="s">
        <v>17</v>
      </c>
      <c r="K709" t="s">
        <v>31</v>
      </c>
      <c r="L709" s="3">
        <f t="shared" si="22"/>
        <v>-44765.370944992945</v>
      </c>
      <c r="M709" s="3">
        <f t="shared" si="23"/>
        <v>2003938435.8428185</v>
      </c>
    </row>
    <row r="710" spans="1:13" customFormat="1">
      <c r="A710">
        <v>2020</v>
      </c>
      <c r="B710" t="s">
        <v>28</v>
      </c>
      <c r="C710" t="s">
        <v>82</v>
      </c>
      <c r="D710" t="s">
        <v>40</v>
      </c>
      <c r="E710">
        <v>100000</v>
      </c>
      <c r="F710" t="s">
        <v>16</v>
      </c>
      <c r="G710">
        <v>100000</v>
      </c>
      <c r="H710" t="s">
        <v>17</v>
      </c>
      <c r="I710">
        <v>100</v>
      </c>
      <c r="J710" t="s">
        <v>17</v>
      </c>
      <c r="K710" t="s">
        <v>31</v>
      </c>
      <c r="L710" s="3">
        <f t="shared" si="22"/>
        <v>-6765.3709449929447</v>
      </c>
      <c r="M710" s="3">
        <f t="shared" si="23"/>
        <v>45770244.023354732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Bilegjargal Battulga</cp:lastModifiedBy>
  <cp:revision/>
  <dcterms:created xsi:type="dcterms:W3CDTF">2017-09-24T22:03:21Z</dcterms:created>
  <dcterms:modified xsi:type="dcterms:W3CDTF">2026-01-13T19:16:30Z</dcterms:modified>
  <cp:category/>
  <cp:contentStatus/>
</cp:coreProperties>
</file>